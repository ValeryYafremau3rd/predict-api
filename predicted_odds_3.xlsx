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" yWindow="516" windowWidth="22716" windowHeight="8940" activeTab="1"/>
  </bookViews>
  <sheets>
    <sheet name="Absolute" sheetId="1" r:id="rId1"/>
    <sheet name="Relative" sheetId="2" r:id="rId2"/>
  </sheets>
  <calcPr calcId="125725"/>
</workbook>
</file>

<file path=xl/calcChain.xml><?xml version="1.0" encoding="utf-8"?>
<calcChain xmlns="http://schemas.openxmlformats.org/spreadsheetml/2006/main">
  <c r="M611" i="2"/>
  <c r="L611"/>
  <c r="K611"/>
  <c r="I611"/>
  <c r="H611"/>
  <c r="G611"/>
  <c r="E611"/>
  <c r="D611"/>
  <c r="C611"/>
  <c r="M608"/>
  <c r="L608"/>
  <c r="K608"/>
  <c r="I608"/>
  <c r="H608"/>
  <c r="G608"/>
  <c r="E608"/>
  <c r="D608"/>
  <c r="C608"/>
  <c r="M602"/>
  <c r="L602"/>
  <c r="K602"/>
  <c r="I602"/>
  <c r="H602"/>
  <c r="G602"/>
  <c r="E602"/>
  <c r="D602"/>
  <c r="C602"/>
  <c r="M599"/>
  <c r="L599"/>
  <c r="K599"/>
  <c r="I599"/>
  <c r="H599"/>
  <c r="G599"/>
  <c r="E599"/>
  <c r="D599"/>
  <c r="C599"/>
  <c r="M593"/>
  <c r="L593"/>
  <c r="K593"/>
  <c r="I593"/>
  <c r="H593"/>
  <c r="G593"/>
  <c r="E593"/>
  <c r="D593"/>
  <c r="C593"/>
  <c r="M590"/>
  <c r="L590"/>
  <c r="K590"/>
  <c r="I590"/>
  <c r="H590"/>
  <c r="G590"/>
  <c r="E590"/>
  <c r="D590"/>
  <c r="C590"/>
  <c r="M584"/>
  <c r="L584"/>
  <c r="K584"/>
  <c r="I584"/>
  <c r="H584"/>
  <c r="G584"/>
  <c r="E584"/>
  <c r="D584"/>
  <c r="C584"/>
  <c r="M581"/>
  <c r="L581"/>
  <c r="K581"/>
  <c r="I581"/>
  <c r="H581"/>
  <c r="G581"/>
  <c r="E581"/>
  <c r="D581"/>
  <c r="C581"/>
  <c r="M575"/>
  <c r="L575"/>
  <c r="K575"/>
  <c r="I575"/>
  <c r="H575"/>
  <c r="G575"/>
  <c r="E575"/>
  <c r="D575"/>
  <c r="C575"/>
  <c r="M572"/>
  <c r="L572"/>
  <c r="K572"/>
  <c r="I572"/>
  <c r="H572"/>
  <c r="G572"/>
  <c r="E572"/>
  <c r="D572"/>
  <c r="C572"/>
  <c r="M566"/>
  <c r="L566"/>
  <c r="K566"/>
  <c r="I566"/>
  <c r="H566"/>
  <c r="G566"/>
  <c r="E566"/>
  <c r="D566"/>
  <c r="C566"/>
  <c r="M563"/>
  <c r="L563"/>
  <c r="K563"/>
  <c r="I563"/>
  <c r="H563"/>
  <c r="G563"/>
  <c r="E563"/>
  <c r="D563"/>
  <c r="C563"/>
  <c r="M557"/>
  <c r="L557"/>
  <c r="K557"/>
  <c r="I557"/>
  <c r="H557"/>
  <c r="G557"/>
  <c r="E557"/>
  <c r="D557"/>
  <c r="C557"/>
  <c r="M554"/>
  <c r="L554"/>
  <c r="K554"/>
  <c r="I554"/>
  <c r="H554"/>
  <c r="G554"/>
  <c r="E554"/>
  <c r="D554"/>
  <c r="C554"/>
  <c r="M548"/>
  <c r="L548"/>
  <c r="K548"/>
  <c r="I548"/>
  <c r="H548"/>
  <c r="G548"/>
  <c r="E548"/>
  <c r="D548"/>
  <c r="C548"/>
  <c r="M545"/>
  <c r="L545"/>
  <c r="K545"/>
  <c r="I545"/>
  <c r="H545"/>
  <c r="G545"/>
  <c r="E545"/>
  <c r="D545"/>
  <c r="C545"/>
  <c r="M539"/>
  <c r="L539"/>
  <c r="K539"/>
  <c r="I539"/>
  <c r="H539"/>
  <c r="G539"/>
  <c r="E539"/>
  <c r="D539"/>
  <c r="C539"/>
  <c r="M536"/>
  <c r="L536"/>
  <c r="K536"/>
  <c r="I536"/>
  <c r="H536"/>
  <c r="G536"/>
  <c r="E536"/>
  <c r="D536"/>
  <c r="C536"/>
  <c r="M530"/>
  <c r="L530"/>
  <c r="K530"/>
  <c r="I530"/>
  <c r="H530"/>
  <c r="G530"/>
  <c r="E530"/>
  <c r="D530"/>
  <c r="C530"/>
  <c r="M527"/>
  <c r="L527"/>
  <c r="K527"/>
  <c r="I527"/>
  <c r="H527"/>
  <c r="G527"/>
  <c r="E527"/>
  <c r="D527"/>
  <c r="C527"/>
  <c r="M521"/>
  <c r="L521"/>
  <c r="K521"/>
  <c r="I521"/>
  <c r="H521"/>
  <c r="G521"/>
  <c r="E521"/>
  <c r="D521"/>
  <c r="C521"/>
  <c r="M518"/>
  <c r="L518"/>
  <c r="K518"/>
  <c r="I518"/>
  <c r="H518"/>
  <c r="G518"/>
  <c r="E518"/>
  <c r="D518"/>
  <c r="C518"/>
  <c r="M512"/>
  <c r="L512"/>
  <c r="K512"/>
  <c r="I512"/>
  <c r="H512"/>
  <c r="G512"/>
  <c r="E512"/>
  <c r="D512"/>
  <c r="C512"/>
  <c r="M509"/>
  <c r="L509"/>
  <c r="K509"/>
  <c r="I509"/>
  <c r="H509"/>
  <c r="G509"/>
  <c r="E509"/>
  <c r="D509"/>
  <c r="C509"/>
  <c r="M503"/>
  <c r="L503"/>
  <c r="K503"/>
  <c r="I503"/>
  <c r="H503"/>
  <c r="G503"/>
  <c r="E503"/>
  <c r="D503"/>
  <c r="C503"/>
  <c r="M500"/>
  <c r="L500"/>
  <c r="K500"/>
  <c r="I500"/>
  <c r="H500"/>
  <c r="G500"/>
  <c r="E500"/>
  <c r="D500"/>
  <c r="C500"/>
  <c r="M494"/>
  <c r="L494"/>
  <c r="K494"/>
  <c r="I494"/>
  <c r="H494"/>
  <c r="G494"/>
  <c r="E494"/>
  <c r="D494"/>
  <c r="C494"/>
  <c r="M491"/>
  <c r="L491"/>
  <c r="K491"/>
  <c r="I491"/>
  <c r="H491"/>
  <c r="G491"/>
  <c r="E491"/>
  <c r="D491"/>
  <c r="C491"/>
  <c r="M485"/>
  <c r="L485"/>
  <c r="K485"/>
  <c r="I485"/>
  <c r="H485"/>
  <c r="G485"/>
  <c r="E485"/>
  <c r="D485"/>
  <c r="C485"/>
  <c r="M482"/>
  <c r="L482"/>
  <c r="K482"/>
  <c r="I482"/>
  <c r="H482"/>
  <c r="G482"/>
  <c r="E482"/>
  <c r="D482"/>
  <c r="C482"/>
  <c r="M476"/>
  <c r="L476"/>
  <c r="K476"/>
  <c r="I476"/>
  <c r="H476"/>
  <c r="G476"/>
  <c r="E476"/>
  <c r="D476"/>
  <c r="C476"/>
  <c r="M473"/>
  <c r="L473"/>
  <c r="K473"/>
  <c r="I473"/>
  <c r="H473"/>
  <c r="G473"/>
  <c r="E473"/>
  <c r="D473"/>
  <c r="C473"/>
  <c r="M467"/>
  <c r="L467"/>
  <c r="K467"/>
  <c r="I467"/>
  <c r="H467"/>
  <c r="G467"/>
  <c r="E467"/>
  <c r="D467"/>
  <c r="C467"/>
  <c r="M464"/>
  <c r="L464"/>
  <c r="K464"/>
  <c r="I464"/>
  <c r="H464"/>
  <c r="G464"/>
  <c r="E464"/>
  <c r="D464"/>
  <c r="C464"/>
  <c r="M458"/>
  <c r="L458"/>
  <c r="K458"/>
  <c r="I458"/>
  <c r="H458"/>
  <c r="G458"/>
  <c r="E458"/>
  <c r="D458"/>
  <c r="C458"/>
  <c r="M455"/>
  <c r="L455"/>
  <c r="K455"/>
  <c r="I455"/>
  <c r="H455"/>
  <c r="G455"/>
  <c r="E455"/>
  <c r="D455"/>
  <c r="C455"/>
  <c r="M449"/>
  <c r="L449"/>
  <c r="K449"/>
  <c r="I449"/>
  <c r="H449"/>
  <c r="G449"/>
  <c r="E449"/>
  <c r="D449"/>
  <c r="C449"/>
  <c r="M446"/>
  <c r="L446"/>
  <c r="K446"/>
  <c r="I446"/>
  <c r="H446"/>
  <c r="G446"/>
  <c r="E446"/>
  <c r="D446"/>
  <c r="C446"/>
  <c r="M440"/>
  <c r="L440"/>
  <c r="K440"/>
  <c r="I440"/>
  <c r="H440"/>
  <c r="G440"/>
  <c r="E440"/>
  <c r="D440"/>
  <c r="C440"/>
  <c r="M437"/>
  <c r="L437"/>
  <c r="K437"/>
  <c r="I437"/>
  <c r="H437"/>
  <c r="G437"/>
  <c r="E437"/>
  <c r="D437"/>
  <c r="C437"/>
  <c r="M431"/>
  <c r="L431"/>
  <c r="K431"/>
  <c r="I431"/>
  <c r="H431"/>
  <c r="G431"/>
  <c r="E431"/>
  <c r="D431"/>
  <c r="C431"/>
  <c r="M428"/>
  <c r="L428"/>
  <c r="K428"/>
  <c r="I428"/>
  <c r="H428"/>
  <c r="G428"/>
  <c r="E428"/>
  <c r="D428"/>
  <c r="C428"/>
  <c r="M422"/>
  <c r="L422"/>
  <c r="K422"/>
  <c r="I422"/>
  <c r="H422"/>
  <c r="G422"/>
  <c r="E422"/>
  <c r="D422"/>
  <c r="C422"/>
  <c r="M419"/>
  <c r="L419"/>
  <c r="K419"/>
  <c r="I419"/>
  <c r="H419"/>
  <c r="G419"/>
  <c r="E419"/>
  <c r="D419"/>
  <c r="C419"/>
  <c r="M413"/>
  <c r="L413"/>
  <c r="K413"/>
  <c r="I413"/>
  <c r="H413"/>
  <c r="G413"/>
  <c r="E413"/>
  <c r="D413"/>
  <c r="C413"/>
  <c r="M410"/>
  <c r="L410"/>
  <c r="K410"/>
  <c r="I410"/>
  <c r="H410"/>
  <c r="G410"/>
  <c r="E410"/>
  <c r="D410"/>
  <c r="C410"/>
  <c r="M404"/>
  <c r="L404"/>
  <c r="K404"/>
  <c r="I404"/>
  <c r="H404"/>
  <c r="G404"/>
  <c r="E404"/>
  <c r="D404"/>
  <c r="C404"/>
  <c r="M401"/>
  <c r="L401"/>
  <c r="K401"/>
  <c r="I401"/>
  <c r="H401"/>
  <c r="G401"/>
  <c r="E401"/>
  <c r="D401"/>
  <c r="C401"/>
  <c r="M395"/>
  <c r="L395"/>
  <c r="K395"/>
  <c r="I395"/>
  <c r="H395"/>
  <c r="G395"/>
  <c r="E395"/>
  <c r="D395"/>
  <c r="C395"/>
  <c r="M392"/>
  <c r="L392"/>
  <c r="K392"/>
  <c r="I392"/>
  <c r="H392"/>
  <c r="G392"/>
  <c r="E392"/>
  <c r="D392"/>
  <c r="C392"/>
  <c r="M386"/>
  <c r="L386"/>
  <c r="K386"/>
  <c r="I386"/>
  <c r="H386"/>
  <c r="G386"/>
  <c r="E386"/>
  <c r="D386"/>
  <c r="C386"/>
  <c r="M383"/>
  <c r="L383"/>
  <c r="K383"/>
  <c r="I383"/>
  <c r="H383"/>
  <c r="G383"/>
  <c r="E383"/>
  <c r="D383"/>
  <c r="C383"/>
  <c r="M377"/>
  <c r="L377"/>
  <c r="K377"/>
  <c r="I377"/>
  <c r="H377"/>
  <c r="G377"/>
  <c r="E377"/>
  <c r="D377"/>
  <c r="C377"/>
  <c r="M374"/>
  <c r="L374"/>
  <c r="K374"/>
  <c r="I374"/>
  <c r="H374"/>
  <c r="G374"/>
  <c r="E374"/>
  <c r="D374"/>
  <c r="C374"/>
  <c r="M368"/>
  <c r="L368"/>
  <c r="K368"/>
  <c r="I368"/>
  <c r="H368"/>
  <c r="G368"/>
  <c r="E368"/>
  <c r="D368"/>
  <c r="C368"/>
  <c r="M365"/>
  <c r="L365"/>
  <c r="K365"/>
  <c r="I365"/>
  <c r="H365"/>
  <c r="G365"/>
  <c r="E365"/>
  <c r="D365"/>
  <c r="C365"/>
  <c r="M359"/>
  <c r="L359"/>
  <c r="K359"/>
  <c r="I359"/>
  <c r="H359"/>
  <c r="G359"/>
  <c r="E359"/>
  <c r="D359"/>
  <c r="C359"/>
  <c r="M356"/>
  <c r="L356"/>
  <c r="K356"/>
  <c r="I356"/>
  <c r="H356"/>
  <c r="G356"/>
  <c r="E356"/>
  <c r="D356"/>
  <c r="C356"/>
  <c r="M350"/>
  <c r="L350"/>
  <c r="K350"/>
  <c r="I350"/>
  <c r="H350"/>
  <c r="G350"/>
  <c r="E350"/>
  <c r="D350"/>
  <c r="C350"/>
  <c r="M347"/>
  <c r="L347"/>
  <c r="K347"/>
  <c r="I347"/>
  <c r="H347"/>
  <c r="G347"/>
  <c r="E347"/>
  <c r="D347"/>
  <c r="C347"/>
  <c r="M341"/>
  <c r="L341"/>
  <c r="K341"/>
  <c r="I341"/>
  <c r="H341"/>
  <c r="G341"/>
  <c r="E341"/>
  <c r="D341"/>
  <c r="C341"/>
  <c r="M338"/>
  <c r="L338"/>
  <c r="K338"/>
  <c r="I338"/>
  <c r="H338"/>
  <c r="G338"/>
  <c r="E338"/>
  <c r="D338"/>
  <c r="C338"/>
  <c r="M332"/>
  <c r="L332"/>
  <c r="K332"/>
  <c r="I332"/>
  <c r="H332"/>
  <c r="G332"/>
  <c r="E332"/>
  <c r="D332"/>
  <c r="C332"/>
  <c r="M329"/>
  <c r="L329"/>
  <c r="K329"/>
  <c r="I329"/>
  <c r="H329"/>
  <c r="G329"/>
  <c r="E329"/>
  <c r="D329"/>
  <c r="C329"/>
  <c r="M323"/>
  <c r="L323"/>
  <c r="K323"/>
  <c r="I323"/>
  <c r="H323"/>
  <c r="G323"/>
  <c r="E323"/>
  <c r="D323"/>
  <c r="C323"/>
  <c r="M320"/>
  <c r="L320"/>
  <c r="K320"/>
  <c r="I320"/>
  <c r="H320"/>
  <c r="G320"/>
  <c r="E320"/>
  <c r="D320"/>
  <c r="C320"/>
  <c r="M314"/>
  <c r="L314"/>
  <c r="K314"/>
  <c r="I314"/>
  <c r="H314"/>
  <c r="G314"/>
  <c r="E314"/>
  <c r="D314"/>
  <c r="C314"/>
  <c r="M311"/>
  <c r="L311"/>
  <c r="K311"/>
  <c r="I311"/>
  <c r="H311"/>
  <c r="G311"/>
  <c r="E311"/>
  <c r="D311"/>
  <c r="C311"/>
  <c r="M305"/>
  <c r="L305"/>
  <c r="K305"/>
  <c r="I305"/>
  <c r="H305"/>
  <c r="G305"/>
  <c r="E305"/>
  <c r="D305"/>
  <c r="C305"/>
  <c r="M302"/>
  <c r="L302"/>
  <c r="K302"/>
  <c r="I302"/>
  <c r="H302"/>
  <c r="G302"/>
  <c r="E302"/>
  <c r="D302"/>
  <c r="C302"/>
  <c r="M296"/>
  <c r="L296"/>
  <c r="K296"/>
  <c r="I296"/>
  <c r="H296"/>
  <c r="G296"/>
  <c r="E296"/>
  <c r="D296"/>
  <c r="C296"/>
  <c r="M293"/>
  <c r="L293"/>
  <c r="K293"/>
  <c r="I293"/>
  <c r="H293"/>
  <c r="G293"/>
  <c r="E293"/>
  <c r="D293"/>
  <c r="C293"/>
  <c r="M287"/>
  <c r="L287"/>
  <c r="K287"/>
  <c r="I287"/>
  <c r="H287"/>
  <c r="G287"/>
  <c r="E287"/>
  <c r="D287"/>
  <c r="C287"/>
  <c r="M284"/>
  <c r="L284"/>
  <c r="K284"/>
  <c r="I284"/>
  <c r="H284"/>
  <c r="G284"/>
  <c r="E284"/>
  <c r="D284"/>
  <c r="C284"/>
  <c r="M278"/>
  <c r="L278"/>
  <c r="K278"/>
  <c r="I278"/>
  <c r="H278"/>
  <c r="G278"/>
  <c r="E278"/>
  <c r="D278"/>
  <c r="C278"/>
  <c r="M275"/>
  <c r="L275"/>
  <c r="K275"/>
  <c r="I275"/>
  <c r="H275"/>
  <c r="G275"/>
  <c r="E275"/>
  <c r="D275"/>
  <c r="C275"/>
  <c r="M269"/>
  <c r="L269"/>
  <c r="K269"/>
  <c r="I269"/>
  <c r="H269"/>
  <c r="G269"/>
  <c r="E269"/>
  <c r="D269"/>
  <c r="C269"/>
  <c r="M266"/>
  <c r="L266"/>
  <c r="K266"/>
  <c r="I266"/>
  <c r="H266"/>
  <c r="G266"/>
  <c r="E266"/>
  <c r="D266"/>
  <c r="C266"/>
  <c r="M260"/>
  <c r="L260"/>
  <c r="K260"/>
  <c r="I260"/>
  <c r="H260"/>
  <c r="G260"/>
  <c r="E260"/>
  <c r="D260"/>
  <c r="C260"/>
  <c r="M257"/>
  <c r="L257"/>
  <c r="K257"/>
  <c r="I257"/>
  <c r="H257"/>
  <c r="G257"/>
  <c r="E257"/>
  <c r="D257"/>
  <c r="C257"/>
  <c r="M251"/>
  <c r="L251"/>
  <c r="K251"/>
  <c r="I251"/>
  <c r="H251"/>
  <c r="G251"/>
  <c r="E251"/>
  <c r="D251"/>
  <c r="C251"/>
  <c r="M248"/>
  <c r="L248"/>
  <c r="K248"/>
  <c r="I248"/>
  <c r="H248"/>
  <c r="G248"/>
  <c r="E248"/>
  <c r="D248"/>
  <c r="C248"/>
  <c r="M242"/>
  <c r="L242"/>
  <c r="K242"/>
  <c r="I242"/>
  <c r="H242"/>
  <c r="G242"/>
  <c r="E242"/>
  <c r="D242"/>
  <c r="C242"/>
  <c r="M239"/>
  <c r="L239"/>
  <c r="K239"/>
  <c r="I239"/>
  <c r="H239"/>
  <c r="G239"/>
  <c r="E239"/>
  <c r="D239"/>
  <c r="C239"/>
  <c r="M233"/>
  <c r="L233"/>
  <c r="K233"/>
  <c r="I233"/>
  <c r="H233"/>
  <c r="G233"/>
  <c r="E233"/>
  <c r="D233"/>
  <c r="C233"/>
  <c r="M230"/>
  <c r="L230"/>
  <c r="K230"/>
  <c r="I230"/>
  <c r="H230"/>
  <c r="G230"/>
  <c r="E230"/>
  <c r="D230"/>
  <c r="C230"/>
  <c r="M224"/>
  <c r="L224"/>
  <c r="K224"/>
  <c r="I224"/>
  <c r="H224"/>
  <c r="G224"/>
  <c r="E224"/>
  <c r="D224"/>
  <c r="C224"/>
  <c r="M221"/>
  <c r="L221"/>
  <c r="K221"/>
  <c r="I221"/>
  <c r="H221"/>
  <c r="G221"/>
  <c r="E221"/>
  <c r="D221"/>
  <c r="C221"/>
  <c r="M215"/>
  <c r="L215"/>
  <c r="K215"/>
  <c r="I215"/>
  <c r="H215"/>
  <c r="G215"/>
  <c r="E215"/>
  <c r="D215"/>
  <c r="C215"/>
  <c r="M212"/>
  <c r="L212"/>
  <c r="K212"/>
  <c r="I212"/>
  <c r="H212"/>
  <c r="G212"/>
  <c r="E212"/>
  <c r="D212"/>
  <c r="C212"/>
  <c r="M206"/>
  <c r="L206"/>
  <c r="K206"/>
  <c r="I206"/>
  <c r="H206"/>
  <c r="G206"/>
  <c r="E206"/>
  <c r="D206"/>
  <c r="C206"/>
  <c r="M203"/>
  <c r="L203"/>
  <c r="K203"/>
  <c r="I203"/>
  <c r="H203"/>
  <c r="G203"/>
  <c r="E203"/>
  <c r="D203"/>
  <c r="C203"/>
  <c r="M197"/>
  <c r="L197"/>
  <c r="K197"/>
  <c r="I197"/>
  <c r="H197"/>
  <c r="G197"/>
  <c r="E197"/>
  <c r="D197"/>
  <c r="C197"/>
  <c r="M194"/>
  <c r="L194"/>
  <c r="K194"/>
  <c r="I194"/>
  <c r="H194"/>
  <c r="G194"/>
  <c r="E194"/>
  <c r="D194"/>
  <c r="C194"/>
  <c r="M188"/>
  <c r="L188"/>
  <c r="K188"/>
  <c r="I188"/>
  <c r="H188"/>
  <c r="G188"/>
  <c r="E188"/>
  <c r="D188"/>
  <c r="C188"/>
  <c r="M185"/>
  <c r="L185"/>
  <c r="K185"/>
  <c r="I185"/>
  <c r="H185"/>
  <c r="G185"/>
  <c r="E185"/>
  <c r="D185"/>
  <c r="C185"/>
  <c r="M179"/>
  <c r="L179"/>
  <c r="K179"/>
  <c r="I179"/>
  <c r="H179"/>
  <c r="G179"/>
  <c r="E179"/>
  <c r="D179"/>
  <c r="C179"/>
  <c r="M176"/>
  <c r="L176"/>
  <c r="K176"/>
  <c r="I176"/>
  <c r="H176"/>
  <c r="G176"/>
  <c r="E176"/>
  <c r="D176"/>
  <c r="C176"/>
  <c r="M170"/>
  <c r="L170"/>
  <c r="K170"/>
  <c r="I170"/>
  <c r="H170"/>
  <c r="G170"/>
  <c r="E170"/>
  <c r="D170"/>
  <c r="C170"/>
  <c r="M167"/>
  <c r="L167"/>
  <c r="K167"/>
  <c r="I167"/>
  <c r="H167"/>
  <c r="G167"/>
  <c r="E167"/>
  <c r="D167"/>
  <c r="C167"/>
  <c r="M161"/>
  <c r="L161"/>
  <c r="K161"/>
  <c r="I161"/>
  <c r="H161"/>
  <c r="G161"/>
  <c r="E161"/>
  <c r="D161"/>
  <c r="C161"/>
  <c r="M158"/>
  <c r="L158"/>
  <c r="K158"/>
  <c r="I158"/>
  <c r="H158"/>
  <c r="G158"/>
  <c r="E158"/>
  <c r="D158"/>
  <c r="C158"/>
  <c r="M152"/>
  <c r="L152"/>
  <c r="K152"/>
  <c r="I152"/>
  <c r="H152"/>
  <c r="G152"/>
  <c r="E152"/>
  <c r="D152"/>
  <c r="C152"/>
  <c r="M149"/>
  <c r="L149"/>
  <c r="K149"/>
  <c r="I149"/>
  <c r="H149"/>
  <c r="G149"/>
  <c r="E149"/>
  <c r="D149"/>
  <c r="C149"/>
  <c r="M143"/>
  <c r="L143"/>
  <c r="K143"/>
  <c r="I143"/>
  <c r="H143"/>
  <c r="G143"/>
  <c r="E143"/>
  <c r="D143"/>
  <c r="C143"/>
  <c r="M140"/>
  <c r="L140"/>
  <c r="K140"/>
  <c r="I140"/>
  <c r="H140"/>
  <c r="G140"/>
  <c r="E140"/>
  <c r="D140"/>
  <c r="C140"/>
  <c r="M134"/>
  <c r="L134"/>
  <c r="K134"/>
  <c r="I134"/>
  <c r="H134"/>
  <c r="G134"/>
  <c r="E134"/>
  <c r="D134"/>
  <c r="C134"/>
  <c r="M131"/>
  <c r="L131"/>
  <c r="K131"/>
  <c r="I131"/>
  <c r="H131"/>
  <c r="G131"/>
  <c r="E131"/>
  <c r="D131"/>
  <c r="C131"/>
  <c r="M125"/>
  <c r="L125"/>
  <c r="K125"/>
  <c r="I125"/>
  <c r="H125"/>
  <c r="G125"/>
  <c r="E125"/>
  <c r="D125"/>
  <c r="C125"/>
  <c r="M122"/>
  <c r="L122"/>
  <c r="K122"/>
  <c r="I122"/>
  <c r="H122"/>
  <c r="G122"/>
  <c r="E122"/>
  <c r="D122"/>
  <c r="C122"/>
  <c r="M116"/>
  <c r="L116"/>
  <c r="K116"/>
  <c r="I116"/>
  <c r="H116"/>
  <c r="G116"/>
  <c r="E116"/>
  <c r="D116"/>
  <c r="C116"/>
  <c r="M113"/>
  <c r="L113"/>
  <c r="K113"/>
  <c r="I113"/>
  <c r="H113"/>
  <c r="G113"/>
  <c r="E113"/>
  <c r="D113"/>
  <c r="C113"/>
  <c r="M107"/>
  <c r="L107"/>
  <c r="K107"/>
  <c r="I107"/>
  <c r="H107"/>
  <c r="G107"/>
  <c r="E107"/>
  <c r="D107"/>
  <c r="C107"/>
  <c r="M104"/>
  <c r="L104"/>
  <c r="K104"/>
  <c r="I104"/>
  <c r="H104"/>
  <c r="G104"/>
  <c r="E104"/>
  <c r="D104"/>
  <c r="C104"/>
  <c r="M98"/>
  <c r="L98"/>
  <c r="K98"/>
  <c r="I98"/>
  <c r="H98"/>
  <c r="G98"/>
  <c r="E98"/>
  <c r="D98"/>
  <c r="C98"/>
  <c r="M95"/>
  <c r="L95"/>
  <c r="K95"/>
  <c r="I95"/>
  <c r="H95"/>
  <c r="G95"/>
  <c r="E95"/>
  <c r="D95"/>
  <c r="C95"/>
  <c r="M89"/>
  <c r="L89"/>
  <c r="K89"/>
  <c r="I89"/>
  <c r="H89"/>
  <c r="G89"/>
  <c r="E89"/>
  <c r="D89"/>
  <c r="C89"/>
  <c r="M86"/>
  <c r="L86"/>
  <c r="K86"/>
  <c r="I86"/>
  <c r="H86"/>
  <c r="G86"/>
  <c r="E86"/>
  <c r="D86"/>
  <c r="C86"/>
  <c r="M80"/>
  <c r="L80"/>
  <c r="K80"/>
  <c r="I80"/>
  <c r="H80"/>
  <c r="G80"/>
  <c r="E80"/>
  <c r="D80"/>
  <c r="C80"/>
  <c r="M77"/>
  <c r="L77"/>
  <c r="K77"/>
  <c r="I77"/>
  <c r="H77"/>
  <c r="G77"/>
  <c r="E77"/>
  <c r="D77"/>
  <c r="C77"/>
  <c r="M71"/>
  <c r="L71"/>
  <c r="K71"/>
  <c r="I71"/>
  <c r="H71"/>
  <c r="G71"/>
  <c r="E71"/>
  <c r="D71"/>
  <c r="C71"/>
  <c r="M68"/>
  <c r="L68"/>
  <c r="K68"/>
  <c r="I68"/>
  <c r="H68"/>
  <c r="G68"/>
  <c r="E68"/>
  <c r="D68"/>
  <c r="C68"/>
  <c r="M62"/>
  <c r="L62"/>
  <c r="K62"/>
  <c r="I62"/>
  <c r="H62"/>
  <c r="G62"/>
  <c r="E62"/>
  <c r="D62"/>
  <c r="C62"/>
  <c r="M59"/>
  <c r="L59"/>
  <c r="K59"/>
  <c r="I59"/>
  <c r="H59"/>
  <c r="G59"/>
  <c r="E59"/>
  <c r="D59"/>
  <c r="C59"/>
  <c r="M53"/>
  <c r="L53"/>
  <c r="K53"/>
  <c r="I53"/>
  <c r="H53"/>
  <c r="G53"/>
  <c r="E53"/>
  <c r="D53"/>
  <c r="C53"/>
  <c r="M50"/>
  <c r="L50"/>
  <c r="K50"/>
  <c r="I50"/>
  <c r="H50"/>
  <c r="G50"/>
  <c r="E50"/>
  <c r="D50"/>
  <c r="C50"/>
  <c r="M44"/>
  <c r="L44"/>
  <c r="K44"/>
  <c r="I44"/>
  <c r="H44"/>
  <c r="G44"/>
  <c r="E44"/>
  <c r="D44"/>
  <c r="C44"/>
  <c r="M41"/>
  <c r="L41"/>
  <c r="K41"/>
  <c r="I41"/>
  <c r="H41"/>
  <c r="G41"/>
  <c r="E41"/>
  <c r="D41"/>
  <c r="C41"/>
  <c r="M35"/>
  <c r="L35"/>
  <c r="K35"/>
  <c r="I35"/>
  <c r="H35"/>
  <c r="G35"/>
  <c r="E35"/>
  <c r="D35"/>
  <c r="C35"/>
  <c r="M32"/>
  <c r="L32"/>
  <c r="K32"/>
  <c r="I32"/>
  <c r="H32"/>
  <c r="G32"/>
  <c r="E32"/>
  <c r="D32"/>
  <c r="C32"/>
  <c r="M26"/>
  <c r="L26"/>
  <c r="K26"/>
  <c r="I26"/>
  <c r="H26"/>
  <c r="G26"/>
  <c r="E26"/>
  <c r="D26"/>
  <c r="C26"/>
  <c r="M23"/>
  <c r="L23"/>
  <c r="K23"/>
  <c r="I23"/>
  <c r="H23"/>
  <c r="G23"/>
  <c r="E23"/>
  <c r="D23"/>
  <c r="C23"/>
  <c r="M17"/>
  <c r="L17"/>
  <c r="K17"/>
  <c r="I17"/>
  <c r="H17"/>
  <c r="G17"/>
  <c r="E17"/>
  <c r="D17"/>
  <c r="C17"/>
  <c r="M14"/>
  <c r="L14"/>
  <c r="K14"/>
  <c r="I14"/>
  <c r="H14"/>
  <c r="G14"/>
  <c r="E14"/>
  <c r="D14"/>
  <c r="C14"/>
  <c r="M8"/>
  <c r="L8"/>
  <c r="K8"/>
  <c r="I8"/>
  <c r="I1" s="1"/>
  <c r="H8"/>
  <c r="G8"/>
  <c r="E8"/>
  <c r="D8"/>
  <c r="C8"/>
  <c r="E1" s="1"/>
  <c r="E10" s="1"/>
  <c r="E19" s="1"/>
  <c r="M5"/>
  <c r="L5"/>
  <c r="K5"/>
  <c r="I5"/>
  <c r="H5"/>
  <c r="G5"/>
  <c r="E5"/>
  <c r="D5"/>
  <c r="C5"/>
  <c r="M611" i="1"/>
  <c r="L611"/>
  <c r="K611"/>
  <c r="I611"/>
  <c r="H611"/>
  <c r="G611"/>
  <c r="E611"/>
  <c r="D611"/>
  <c r="C611"/>
  <c r="M608"/>
  <c r="L608"/>
  <c r="K608"/>
  <c r="I608"/>
  <c r="H608"/>
  <c r="G608"/>
  <c r="E608"/>
  <c r="D608"/>
  <c r="C608"/>
  <c r="M602"/>
  <c r="L602"/>
  <c r="K602"/>
  <c r="I602"/>
  <c r="H602"/>
  <c r="G602"/>
  <c r="E602"/>
  <c r="D602"/>
  <c r="C602"/>
  <c r="M599"/>
  <c r="L599"/>
  <c r="K599"/>
  <c r="I599"/>
  <c r="H599"/>
  <c r="G599"/>
  <c r="E599"/>
  <c r="D599"/>
  <c r="C599"/>
  <c r="M593"/>
  <c r="L593"/>
  <c r="K593"/>
  <c r="I593"/>
  <c r="H593"/>
  <c r="G593"/>
  <c r="E593"/>
  <c r="D593"/>
  <c r="C593"/>
  <c r="M590"/>
  <c r="L590"/>
  <c r="K590"/>
  <c r="I590"/>
  <c r="H590"/>
  <c r="G590"/>
  <c r="E590"/>
  <c r="D590"/>
  <c r="C590"/>
  <c r="M584"/>
  <c r="L584"/>
  <c r="K584"/>
  <c r="I584"/>
  <c r="H584"/>
  <c r="G584"/>
  <c r="E584"/>
  <c r="D584"/>
  <c r="C584"/>
  <c r="M581"/>
  <c r="L581"/>
  <c r="K581"/>
  <c r="I581"/>
  <c r="H581"/>
  <c r="G581"/>
  <c r="E581"/>
  <c r="D581"/>
  <c r="C581"/>
  <c r="M575"/>
  <c r="L575"/>
  <c r="K575"/>
  <c r="I575"/>
  <c r="H575"/>
  <c r="G575"/>
  <c r="E575"/>
  <c r="D575"/>
  <c r="C575"/>
  <c r="M572"/>
  <c r="L572"/>
  <c r="K572"/>
  <c r="I572"/>
  <c r="H572"/>
  <c r="G572"/>
  <c r="E572"/>
  <c r="D572"/>
  <c r="C572"/>
  <c r="M566"/>
  <c r="L566"/>
  <c r="K566"/>
  <c r="I566"/>
  <c r="H566"/>
  <c r="G566"/>
  <c r="E566"/>
  <c r="D566"/>
  <c r="C566"/>
  <c r="M563"/>
  <c r="L563"/>
  <c r="K563"/>
  <c r="I563"/>
  <c r="H563"/>
  <c r="G563"/>
  <c r="E563"/>
  <c r="D563"/>
  <c r="C563"/>
  <c r="M557"/>
  <c r="L557"/>
  <c r="K557"/>
  <c r="I557"/>
  <c r="H557"/>
  <c r="G557"/>
  <c r="E557"/>
  <c r="D557"/>
  <c r="C557"/>
  <c r="M554"/>
  <c r="L554"/>
  <c r="K554"/>
  <c r="I554"/>
  <c r="H554"/>
  <c r="G554"/>
  <c r="E554"/>
  <c r="D554"/>
  <c r="C554"/>
  <c r="M548"/>
  <c r="L548"/>
  <c r="K548"/>
  <c r="I548"/>
  <c r="H548"/>
  <c r="G548"/>
  <c r="E548"/>
  <c r="D548"/>
  <c r="C548"/>
  <c r="M545"/>
  <c r="L545"/>
  <c r="K545"/>
  <c r="I545"/>
  <c r="H545"/>
  <c r="G545"/>
  <c r="E545"/>
  <c r="D545"/>
  <c r="C545"/>
  <c r="M539"/>
  <c r="L539"/>
  <c r="K539"/>
  <c r="I539"/>
  <c r="H539"/>
  <c r="G539"/>
  <c r="E539"/>
  <c r="D539"/>
  <c r="C539"/>
  <c r="M536"/>
  <c r="L536"/>
  <c r="K536"/>
  <c r="I536"/>
  <c r="H536"/>
  <c r="G536"/>
  <c r="E536"/>
  <c r="D536"/>
  <c r="C536"/>
  <c r="M530"/>
  <c r="L530"/>
  <c r="K530"/>
  <c r="I530"/>
  <c r="H530"/>
  <c r="G530"/>
  <c r="E530"/>
  <c r="D530"/>
  <c r="C530"/>
  <c r="M527"/>
  <c r="L527"/>
  <c r="K527"/>
  <c r="I527"/>
  <c r="H527"/>
  <c r="G527"/>
  <c r="E527"/>
  <c r="D527"/>
  <c r="C527"/>
  <c r="M521"/>
  <c r="L521"/>
  <c r="K521"/>
  <c r="I521"/>
  <c r="H521"/>
  <c r="G521"/>
  <c r="E521"/>
  <c r="D521"/>
  <c r="C521"/>
  <c r="M518"/>
  <c r="L518"/>
  <c r="K518"/>
  <c r="I518"/>
  <c r="H518"/>
  <c r="G518"/>
  <c r="E518"/>
  <c r="D518"/>
  <c r="C518"/>
  <c r="M512"/>
  <c r="L512"/>
  <c r="K512"/>
  <c r="I512"/>
  <c r="H512"/>
  <c r="G512"/>
  <c r="E512"/>
  <c r="D512"/>
  <c r="C512"/>
  <c r="M509"/>
  <c r="L509"/>
  <c r="K509"/>
  <c r="I509"/>
  <c r="H509"/>
  <c r="G509"/>
  <c r="E509"/>
  <c r="D509"/>
  <c r="C509"/>
  <c r="M503"/>
  <c r="L503"/>
  <c r="K503"/>
  <c r="I503"/>
  <c r="H503"/>
  <c r="G503"/>
  <c r="E503"/>
  <c r="D503"/>
  <c r="C503"/>
  <c r="M500"/>
  <c r="L500"/>
  <c r="K500"/>
  <c r="I500"/>
  <c r="H500"/>
  <c r="G500"/>
  <c r="E500"/>
  <c r="D500"/>
  <c r="C500"/>
  <c r="M494"/>
  <c r="L494"/>
  <c r="K494"/>
  <c r="I494"/>
  <c r="H494"/>
  <c r="G494"/>
  <c r="E494"/>
  <c r="D494"/>
  <c r="C494"/>
  <c r="M491"/>
  <c r="L491"/>
  <c r="K491"/>
  <c r="I491"/>
  <c r="H491"/>
  <c r="G491"/>
  <c r="E491"/>
  <c r="D491"/>
  <c r="C491"/>
  <c r="M485"/>
  <c r="L485"/>
  <c r="K485"/>
  <c r="I485"/>
  <c r="H485"/>
  <c r="G485"/>
  <c r="E485"/>
  <c r="D485"/>
  <c r="C485"/>
  <c r="M482"/>
  <c r="L482"/>
  <c r="K482"/>
  <c r="I482"/>
  <c r="H482"/>
  <c r="G482"/>
  <c r="E482"/>
  <c r="D482"/>
  <c r="C482"/>
  <c r="M476"/>
  <c r="L476"/>
  <c r="K476"/>
  <c r="I476"/>
  <c r="H476"/>
  <c r="G476"/>
  <c r="E476"/>
  <c r="D476"/>
  <c r="C476"/>
  <c r="M473"/>
  <c r="L473"/>
  <c r="K473"/>
  <c r="I473"/>
  <c r="H473"/>
  <c r="G473"/>
  <c r="E473"/>
  <c r="D473"/>
  <c r="C473"/>
  <c r="M467"/>
  <c r="L467"/>
  <c r="K467"/>
  <c r="I467"/>
  <c r="H467"/>
  <c r="G467"/>
  <c r="E467"/>
  <c r="D467"/>
  <c r="C467"/>
  <c r="M464"/>
  <c r="L464"/>
  <c r="K464"/>
  <c r="I464"/>
  <c r="H464"/>
  <c r="G464"/>
  <c r="E464"/>
  <c r="D464"/>
  <c r="C464"/>
  <c r="M458"/>
  <c r="L458"/>
  <c r="K458"/>
  <c r="I458"/>
  <c r="H458"/>
  <c r="G458"/>
  <c r="E458"/>
  <c r="D458"/>
  <c r="C458"/>
  <c r="M455"/>
  <c r="L455"/>
  <c r="K455"/>
  <c r="I455"/>
  <c r="H455"/>
  <c r="G455"/>
  <c r="E455"/>
  <c r="D455"/>
  <c r="C455"/>
  <c r="M449"/>
  <c r="L449"/>
  <c r="K449"/>
  <c r="I449"/>
  <c r="H449"/>
  <c r="G449"/>
  <c r="E449"/>
  <c r="D449"/>
  <c r="C449"/>
  <c r="M446"/>
  <c r="L446"/>
  <c r="K446"/>
  <c r="I446"/>
  <c r="H446"/>
  <c r="G446"/>
  <c r="E446"/>
  <c r="D446"/>
  <c r="C446"/>
  <c r="M440"/>
  <c r="L440"/>
  <c r="K440"/>
  <c r="I440"/>
  <c r="H440"/>
  <c r="G440"/>
  <c r="E440"/>
  <c r="D440"/>
  <c r="C440"/>
  <c r="M437"/>
  <c r="L437"/>
  <c r="K437"/>
  <c r="I437"/>
  <c r="H437"/>
  <c r="G437"/>
  <c r="E437"/>
  <c r="D437"/>
  <c r="C437"/>
  <c r="M431"/>
  <c r="L431"/>
  <c r="K431"/>
  <c r="I431"/>
  <c r="H431"/>
  <c r="G431"/>
  <c r="E431"/>
  <c r="D431"/>
  <c r="C431"/>
  <c r="M428"/>
  <c r="L428"/>
  <c r="K428"/>
  <c r="I428"/>
  <c r="H428"/>
  <c r="G428"/>
  <c r="E428"/>
  <c r="D428"/>
  <c r="C428"/>
  <c r="M422"/>
  <c r="L422"/>
  <c r="K422"/>
  <c r="I422"/>
  <c r="H422"/>
  <c r="G422"/>
  <c r="E422"/>
  <c r="D422"/>
  <c r="C422"/>
  <c r="M419"/>
  <c r="L419"/>
  <c r="K419"/>
  <c r="I419"/>
  <c r="H419"/>
  <c r="G419"/>
  <c r="E419"/>
  <c r="D419"/>
  <c r="C419"/>
  <c r="M413"/>
  <c r="L413"/>
  <c r="K413"/>
  <c r="I413"/>
  <c r="H413"/>
  <c r="G413"/>
  <c r="E413"/>
  <c r="D413"/>
  <c r="C413"/>
  <c r="M410"/>
  <c r="L410"/>
  <c r="K410"/>
  <c r="I410"/>
  <c r="H410"/>
  <c r="G410"/>
  <c r="E410"/>
  <c r="D410"/>
  <c r="C410"/>
  <c r="M404"/>
  <c r="L404"/>
  <c r="K404"/>
  <c r="I404"/>
  <c r="H404"/>
  <c r="G404"/>
  <c r="E404"/>
  <c r="D404"/>
  <c r="C404"/>
  <c r="M401"/>
  <c r="L401"/>
  <c r="K401"/>
  <c r="I401"/>
  <c r="H401"/>
  <c r="G401"/>
  <c r="E401"/>
  <c r="D401"/>
  <c r="C401"/>
  <c r="M395"/>
  <c r="L395"/>
  <c r="K395"/>
  <c r="I395"/>
  <c r="H395"/>
  <c r="G395"/>
  <c r="E395"/>
  <c r="D395"/>
  <c r="C395"/>
  <c r="M392"/>
  <c r="L392"/>
  <c r="K392"/>
  <c r="I392"/>
  <c r="H392"/>
  <c r="G392"/>
  <c r="E392"/>
  <c r="D392"/>
  <c r="C392"/>
  <c r="M386"/>
  <c r="L386"/>
  <c r="K386"/>
  <c r="I386"/>
  <c r="H386"/>
  <c r="G386"/>
  <c r="E386"/>
  <c r="D386"/>
  <c r="C386"/>
  <c r="M383"/>
  <c r="L383"/>
  <c r="K383"/>
  <c r="I383"/>
  <c r="H383"/>
  <c r="G383"/>
  <c r="E383"/>
  <c r="D383"/>
  <c r="C383"/>
  <c r="M377"/>
  <c r="L377"/>
  <c r="K377"/>
  <c r="I377"/>
  <c r="H377"/>
  <c r="G377"/>
  <c r="E377"/>
  <c r="D377"/>
  <c r="C377"/>
  <c r="M374"/>
  <c r="L374"/>
  <c r="K374"/>
  <c r="I374"/>
  <c r="H374"/>
  <c r="G374"/>
  <c r="E374"/>
  <c r="D374"/>
  <c r="C374"/>
  <c r="M368"/>
  <c r="L368"/>
  <c r="K368"/>
  <c r="I368"/>
  <c r="H368"/>
  <c r="G368"/>
  <c r="E368"/>
  <c r="D368"/>
  <c r="C368"/>
  <c r="M365"/>
  <c r="L365"/>
  <c r="K365"/>
  <c r="I365"/>
  <c r="H365"/>
  <c r="G365"/>
  <c r="E365"/>
  <c r="D365"/>
  <c r="C365"/>
  <c r="M359"/>
  <c r="L359"/>
  <c r="K359"/>
  <c r="I359"/>
  <c r="H359"/>
  <c r="G359"/>
  <c r="E359"/>
  <c r="D359"/>
  <c r="C359"/>
  <c r="M356"/>
  <c r="L356"/>
  <c r="K356"/>
  <c r="I356"/>
  <c r="H356"/>
  <c r="G356"/>
  <c r="E356"/>
  <c r="D356"/>
  <c r="C356"/>
  <c r="M350"/>
  <c r="L350"/>
  <c r="K350"/>
  <c r="I350"/>
  <c r="H350"/>
  <c r="G350"/>
  <c r="E350"/>
  <c r="D350"/>
  <c r="C350"/>
  <c r="M347"/>
  <c r="L347"/>
  <c r="K347"/>
  <c r="I347"/>
  <c r="H347"/>
  <c r="G347"/>
  <c r="E347"/>
  <c r="D347"/>
  <c r="C347"/>
  <c r="M341"/>
  <c r="L341"/>
  <c r="K341"/>
  <c r="I341"/>
  <c r="H341"/>
  <c r="G341"/>
  <c r="E341"/>
  <c r="D341"/>
  <c r="C341"/>
  <c r="M338"/>
  <c r="L338"/>
  <c r="K338"/>
  <c r="I338"/>
  <c r="H338"/>
  <c r="G338"/>
  <c r="E338"/>
  <c r="D338"/>
  <c r="C338"/>
  <c r="M332"/>
  <c r="L332"/>
  <c r="K332"/>
  <c r="I332"/>
  <c r="H332"/>
  <c r="G332"/>
  <c r="E332"/>
  <c r="D332"/>
  <c r="C332"/>
  <c r="M329"/>
  <c r="L329"/>
  <c r="K329"/>
  <c r="I329"/>
  <c r="H329"/>
  <c r="G329"/>
  <c r="E329"/>
  <c r="D329"/>
  <c r="C329"/>
  <c r="M323"/>
  <c r="L323"/>
  <c r="K323"/>
  <c r="I323"/>
  <c r="H323"/>
  <c r="G323"/>
  <c r="E323"/>
  <c r="D323"/>
  <c r="C323"/>
  <c r="M320"/>
  <c r="L320"/>
  <c r="K320"/>
  <c r="I320"/>
  <c r="H320"/>
  <c r="G320"/>
  <c r="E320"/>
  <c r="D320"/>
  <c r="C320"/>
  <c r="M314"/>
  <c r="L314"/>
  <c r="K314"/>
  <c r="I314"/>
  <c r="H314"/>
  <c r="G314"/>
  <c r="E314"/>
  <c r="D314"/>
  <c r="C314"/>
  <c r="M311"/>
  <c r="L311"/>
  <c r="K311"/>
  <c r="I311"/>
  <c r="H311"/>
  <c r="G311"/>
  <c r="E311"/>
  <c r="D311"/>
  <c r="C311"/>
  <c r="M305"/>
  <c r="L305"/>
  <c r="K305"/>
  <c r="I305"/>
  <c r="H305"/>
  <c r="G305"/>
  <c r="E305"/>
  <c r="D305"/>
  <c r="C305"/>
  <c r="M302"/>
  <c r="L302"/>
  <c r="K302"/>
  <c r="I302"/>
  <c r="H302"/>
  <c r="G302"/>
  <c r="E302"/>
  <c r="D302"/>
  <c r="C302"/>
  <c r="M296"/>
  <c r="L296"/>
  <c r="K296"/>
  <c r="I296"/>
  <c r="H296"/>
  <c r="G296"/>
  <c r="E296"/>
  <c r="D296"/>
  <c r="C296"/>
  <c r="M293"/>
  <c r="L293"/>
  <c r="K293"/>
  <c r="I293"/>
  <c r="H293"/>
  <c r="G293"/>
  <c r="E293"/>
  <c r="D293"/>
  <c r="C293"/>
  <c r="M287"/>
  <c r="L287"/>
  <c r="K287"/>
  <c r="I287"/>
  <c r="H287"/>
  <c r="G287"/>
  <c r="E287"/>
  <c r="D287"/>
  <c r="C287"/>
  <c r="M284"/>
  <c r="L284"/>
  <c r="K284"/>
  <c r="I284"/>
  <c r="H284"/>
  <c r="G284"/>
  <c r="E284"/>
  <c r="D284"/>
  <c r="C284"/>
  <c r="M278"/>
  <c r="L278"/>
  <c r="K278"/>
  <c r="I278"/>
  <c r="H278"/>
  <c r="G278"/>
  <c r="E278"/>
  <c r="D278"/>
  <c r="C278"/>
  <c r="M275"/>
  <c r="L275"/>
  <c r="K275"/>
  <c r="I275"/>
  <c r="H275"/>
  <c r="G275"/>
  <c r="E275"/>
  <c r="D275"/>
  <c r="C275"/>
  <c r="M269"/>
  <c r="L269"/>
  <c r="K269"/>
  <c r="I269"/>
  <c r="H269"/>
  <c r="G269"/>
  <c r="E269"/>
  <c r="D269"/>
  <c r="C269"/>
  <c r="M266"/>
  <c r="L266"/>
  <c r="K266"/>
  <c r="I266"/>
  <c r="H266"/>
  <c r="G266"/>
  <c r="E266"/>
  <c r="D266"/>
  <c r="C266"/>
  <c r="M260"/>
  <c r="L260"/>
  <c r="K260"/>
  <c r="I260"/>
  <c r="H260"/>
  <c r="G260"/>
  <c r="E260"/>
  <c r="D260"/>
  <c r="C260"/>
  <c r="M257"/>
  <c r="L257"/>
  <c r="K257"/>
  <c r="I257"/>
  <c r="H257"/>
  <c r="G257"/>
  <c r="E257"/>
  <c r="D257"/>
  <c r="C257"/>
  <c r="M251"/>
  <c r="L251"/>
  <c r="K251"/>
  <c r="I251"/>
  <c r="H251"/>
  <c r="G251"/>
  <c r="E251"/>
  <c r="D251"/>
  <c r="C251"/>
  <c r="M248"/>
  <c r="L248"/>
  <c r="K248"/>
  <c r="I248"/>
  <c r="H248"/>
  <c r="G248"/>
  <c r="E248"/>
  <c r="D248"/>
  <c r="C248"/>
  <c r="M242"/>
  <c r="L242"/>
  <c r="K242"/>
  <c r="I242"/>
  <c r="H242"/>
  <c r="G242"/>
  <c r="E242"/>
  <c r="D242"/>
  <c r="C242"/>
  <c r="M239"/>
  <c r="L239"/>
  <c r="K239"/>
  <c r="I239"/>
  <c r="H239"/>
  <c r="G239"/>
  <c r="E239"/>
  <c r="D239"/>
  <c r="C239"/>
  <c r="M233"/>
  <c r="L233"/>
  <c r="K233"/>
  <c r="I233"/>
  <c r="H233"/>
  <c r="G233"/>
  <c r="E233"/>
  <c r="D233"/>
  <c r="C233"/>
  <c r="M230"/>
  <c r="L230"/>
  <c r="K230"/>
  <c r="I230"/>
  <c r="H230"/>
  <c r="G230"/>
  <c r="E230"/>
  <c r="D230"/>
  <c r="C230"/>
  <c r="M224"/>
  <c r="L224"/>
  <c r="K224"/>
  <c r="I224"/>
  <c r="H224"/>
  <c r="G224"/>
  <c r="E224"/>
  <c r="D224"/>
  <c r="C224"/>
  <c r="M221"/>
  <c r="L221"/>
  <c r="K221"/>
  <c r="I221"/>
  <c r="H221"/>
  <c r="G221"/>
  <c r="E221"/>
  <c r="D221"/>
  <c r="C221"/>
  <c r="M215"/>
  <c r="L215"/>
  <c r="K215"/>
  <c r="I215"/>
  <c r="H215"/>
  <c r="G215"/>
  <c r="E215"/>
  <c r="D215"/>
  <c r="C215"/>
  <c r="M212"/>
  <c r="L212"/>
  <c r="K212"/>
  <c r="I212"/>
  <c r="H212"/>
  <c r="G212"/>
  <c r="E212"/>
  <c r="D212"/>
  <c r="C212"/>
  <c r="M206"/>
  <c r="L206"/>
  <c r="K206"/>
  <c r="I206"/>
  <c r="H206"/>
  <c r="G206"/>
  <c r="E206"/>
  <c r="D206"/>
  <c r="C206"/>
  <c r="M203"/>
  <c r="L203"/>
  <c r="K203"/>
  <c r="I203"/>
  <c r="H203"/>
  <c r="G203"/>
  <c r="E203"/>
  <c r="D203"/>
  <c r="C203"/>
  <c r="M197"/>
  <c r="L197"/>
  <c r="K197"/>
  <c r="I197"/>
  <c r="H197"/>
  <c r="G197"/>
  <c r="E197"/>
  <c r="D197"/>
  <c r="C197"/>
  <c r="M194"/>
  <c r="L194"/>
  <c r="K194"/>
  <c r="I194"/>
  <c r="H194"/>
  <c r="G194"/>
  <c r="E194"/>
  <c r="D194"/>
  <c r="C194"/>
  <c r="M188"/>
  <c r="L188"/>
  <c r="K188"/>
  <c r="I188"/>
  <c r="H188"/>
  <c r="G188"/>
  <c r="E188"/>
  <c r="D188"/>
  <c r="C188"/>
  <c r="M185"/>
  <c r="L185"/>
  <c r="K185"/>
  <c r="I185"/>
  <c r="H185"/>
  <c r="G185"/>
  <c r="E185"/>
  <c r="D185"/>
  <c r="C185"/>
  <c r="M179"/>
  <c r="L179"/>
  <c r="K179"/>
  <c r="I179"/>
  <c r="H179"/>
  <c r="G179"/>
  <c r="E179"/>
  <c r="D179"/>
  <c r="C179"/>
  <c r="M176"/>
  <c r="L176"/>
  <c r="K176"/>
  <c r="I176"/>
  <c r="H176"/>
  <c r="G176"/>
  <c r="E176"/>
  <c r="D176"/>
  <c r="C176"/>
  <c r="M170"/>
  <c r="L170"/>
  <c r="K170"/>
  <c r="I170"/>
  <c r="H170"/>
  <c r="G170"/>
  <c r="E170"/>
  <c r="D170"/>
  <c r="C170"/>
  <c r="M167"/>
  <c r="L167"/>
  <c r="K167"/>
  <c r="I167"/>
  <c r="H167"/>
  <c r="G167"/>
  <c r="E167"/>
  <c r="D167"/>
  <c r="C167"/>
  <c r="M161"/>
  <c r="L161"/>
  <c r="K161"/>
  <c r="I161"/>
  <c r="H161"/>
  <c r="G161"/>
  <c r="E161"/>
  <c r="D161"/>
  <c r="C161"/>
  <c r="M158"/>
  <c r="L158"/>
  <c r="K158"/>
  <c r="I158"/>
  <c r="H158"/>
  <c r="G158"/>
  <c r="E158"/>
  <c r="D158"/>
  <c r="C158"/>
  <c r="M152"/>
  <c r="L152"/>
  <c r="K152"/>
  <c r="I152"/>
  <c r="H152"/>
  <c r="G152"/>
  <c r="E152"/>
  <c r="D152"/>
  <c r="C152"/>
  <c r="M149"/>
  <c r="L149"/>
  <c r="K149"/>
  <c r="I149"/>
  <c r="H149"/>
  <c r="G149"/>
  <c r="E149"/>
  <c r="D149"/>
  <c r="C149"/>
  <c r="M143"/>
  <c r="L143"/>
  <c r="K143"/>
  <c r="I143"/>
  <c r="H143"/>
  <c r="G143"/>
  <c r="E143"/>
  <c r="D143"/>
  <c r="C143"/>
  <c r="M140"/>
  <c r="L140"/>
  <c r="K140"/>
  <c r="I140"/>
  <c r="H140"/>
  <c r="G140"/>
  <c r="E140"/>
  <c r="D140"/>
  <c r="C140"/>
  <c r="M134"/>
  <c r="L134"/>
  <c r="K134"/>
  <c r="I134"/>
  <c r="H134"/>
  <c r="G134"/>
  <c r="E134"/>
  <c r="D134"/>
  <c r="C134"/>
  <c r="M131"/>
  <c r="L131"/>
  <c r="K131"/>
  <c r="I131"/>
  <c r="H131"/>
  <c r="G131"/>
  <c r="E131"/>
  <c r="D131"/>
  <c r="C131"/>
  <c r="M125"/>
  <c r="L125"/>
  <c r="K125"/>
  <c r="I125"/>
  <c r="H125"/>
  <c r="G125"/>
  <c r="E125"/>
  <c r="D125"/>
  <c r="C125"/>
  <c r="M122"/>
  <c r="L122"/>
  <c r="K122"/>
  <c r="I122"/>
  <c r="H122"/>
  <c r="G122"/>
  <c r="E122"/>
  <c r="D122"/>
  <c r="C122"/>
  <c r="M116"/>
  <c r="L116"/>
  <c r="K116"/>
  <c r="I116"/>
  <c r="H116"/>
  <c r="G116"/>
  <c r="E116"/>
  <c r="D116"/>
  <c r="C116"/>
  <c r="M113"/>
  <c r="L113"/>
  <c r="K113"/>
  <c r="I113"/>
  <c r="H113"/>
  <c r="G113"/>
  <c r="E113"/>
  <c r="D113"/>
  <c r="C113"/>
  <c r="M107"/>
  <c r="L107"/>
  <c r="K107"/>
  <c r="I107"/>
  <c r="H107"/>
  <c r="G107"/>
  <c r="E107"/>
  <c r="D107"/>
  <c r="C107"/>
  <c r="M104"/>
  <c r="L104"/>
  <c r="K104"/>
  <c r="I104"/>
  <c r="H104"/>
  <c r="G104"/>
  <c r="E104"/>
  <c r="D104"/>
  <c r="C104"/>
  <c r="M98"/>
  <c r="L98"/>
  <c r="K98"/>
  <c r="I98"/>
  <c r="H98"/>
  <c r="G98"/>
  <c r="E98"/>
  <c r="D98"/>
  <c r="C98"/>
  <c r="M95"/>
  <c r="L95"/>
  <c r="K95"/>
  <c r="I95"/>
  <c r="H95"/>
  <c r="G95"/>
  <c r="E95"/>
  <c r="D95"/>
  <c r="C95"/>
  <c r="M89"/>
  <c r="L89"/>
  <c r="K89"/>
  <c r="I89"/>
  <c r="H89"/>
  <c r="G89"/>
  <c r="E89"/>
  <c r="D89"/>
  <c r="C89"/>
  <c r="M86"/>
  <c r="L86"/>
  <c r="K86"/>
  <c r="I86"/>
  <c r="H86"/>
  <c r="G86"/>
  <c r="E86"/>
  <c r="D86"/>
  <c r="C86"/>
  <c r="M80"/>
  <c r="L80"/>
  <c r="K80"/>
  <c r="I80"/>
  <c r="H80"/>
  <c r="G80"/>
  <c r="E80"/>
  <c r="D80"/>
  <c r="C80"/>
  <c r="M77"/>
  <c r="L77"/>
  <c r="K77"/>
  <c r="I77"/>
  <c r="H77"/>
  <c r="G77"/>
  <c r="E77"/>
  <c r="D77"/>
  <c r="C77"/>
  <c r="M71"/>
  <c r="L71"/>
  <c r="K71"/>
  <c r="I71"/>
  <c r="H71"/>
  <c r="G71"/>
  <c r="E71"/>
  <c r="D71"/>
  <c r="C71"/>
  <c r="M68"/>
  <c r="L68"/>
  <c r="K68"/>
  <c r="I68"/>
  <c r="H68"/>
  <c r="G68"/>
  <c r="E68"/>
  <c r="D68"/>
  <c r="C68"/>
  <c r="M62"/>
  <c r="L62"/>
  <c r="K62"/>
  <c r="I62"/>
  <c r="H62"/>
  <c r="G62"/>
  <c r="E62"/>
  <c r="D62"/>
  <c r="C62"/>
  <c r="M59"/>
  <c r="L59"/>
  <c r="K59"/>
  <c r="I59"/>
  <c r="H59"/>
  <c r="G59"/>
  <c r="E59"/>
  <c r="D59"/>
  <c r="C59"/>
  <c r="M53"/>
  <c r="L53"/>
  <c r="K53"/>
  <c r="I53"/>
  <c r="H53"/>
  <c r="G53"/>
  <c r="E53"/>
  <c r="D53"/>
  <c r="C53"/>
  <c r="M50"/>
  <c r="L50"/>
  <c r="K50"/>
  <c r="I50"/>
  <c r="H50"/>
  <c r="G50"/>
  <c r="E50"/>
  <c r="D50"/>
  <c r="C50"/>
  <c r="M44"/>
  <c r="L44"/>
  <c r="K44"/>
  <c r="I44"/>
  <c r="H44"/>
  <c r="G44"/>
  <c r="E44"/>
  <c r="D44"/>
  <c r="C44"/>
  <c r="M41"/>
  <c r="L41"/>
  <c r="K41"/>
  <c r="I41"/>
  <c r="H41"/>
  <c r="G41"/>
  <c r="E41"/>
  <c r="D41"/>
  <c r="C41"/>
  <c r="M35"/>
  <c r="L35"/>
  <c r="K35"/>
  <c r="I35"/>
  <c r="H35"/>
  <c r="G35"/>
  <c r="E35"/>
  <c r="D35"/>
  <c r="C35"/>
  <c r="M32"/>
  <c r="L32"/>
  <c r="K32"/>
  <c r="I32"/>
  <c r="H32"/>
  <c r="G32"/>
  <c r="E32"/>
  <c r="D32"/>
  <c r="C32"/>
  <c r="M26"/>
  <c r="L26"/>
  <c r="K26"/>
  <c r="I26"/>
  <c r="H26"/>
  <c r="G26"/>
  <c r="I19" s="1"/>
  <c r="E26"/>
  <c r="D26"/>
  <c r="C26"/>
  <c r="M23"/>
  <c r="L23"/>
  <c r="K23"/>
  <c r="I23"/>
  <c r="H23"/>
  <c r="G23"/>
  <c r="E23"/>
  <c r="D23"/>
  <c r="C23"/>
  <c r="M17"/>
  <c r="L17"/>
  <c r="M10" s="1"/>
  <c r="K17"/>
  <c r="I17"/>
  <c r="H17"/>
  <c r="G17"/>
  <c r="E17"/>
  <c r="D17"/>
  <c r="C17"/>
  <c r="M14"/>
  <c r="L14"/>
  <c r="K14"/>
  <c r="I14"/>
  <c r="H14"/>
  <c r="G14"/>
  <c r="E14"/>
  <c r="D14"/>
  <c r="C14"/>
  <c r="M8"/>
  <c r="L8"/>
  <c r="K8"/>
  <c r="I8"/>
  <c r="I1" s="1"/>
  <c r="I10" s="1"/>
  <c r="H8"/>
  <c r="G8"/>
  <c r="E8"/>
  <c r="E1" s="1"/>
  <c r="D8"/>
  <c r="C8"/>
  <c r="M5"/>
  <c r="L5"/>
  <c r="K5"/>
  <c r="I5"/>
  <c r="H5"/>
  <c r="G5"/>
  <c r="E5"/>
  <c r="D5"/>
  <c r="C5"/>
  <c r="M1"/>
  <c r="I10" i="2" l="1"/>
  <c r="M1"/>
  <c r="M10" s="1"/>
  <c r="M19" s="1"/>
  <c r="M28" s="1"/>
  <c r="M37" s="1"/>
  <c r="M46" s="1"/>
  <c r="M55" s="1"/>
  <c r="M64" s="1"/>
  <c r="M73" s="1"/>
  <c r="M82" s="1"/>
  <c r="M91" s="1"/>
  <c r="M100" s="1"/>
  <c r="M109" s="1"/>
  <c r="M118" s="1"/>
  <c r="M127" s="1"/>
  <c r="M136" s="1"/>
  <c r="M145" s="1"/>
  <c r="M154" s="1"/>
  <c r="M163" s="1"/>
  <c r="M172" s="1"/>
  <c r="M181" s="1"/>
  <c r="M190" s="1"/>
  <c r="M199" s="1"/>
  <c r="M208" s="1"/>
  <c r="M217" s="1"/>
  <c r="M226" s="1"/>
  <c r="M235" s="1"/>
  <c r="M244" s="1"/>
  <c r="M253" s="1"/>
  <c r="M262" s="1"/>
  <c r="M271" s="1"/>
  <c r="M280" s="1"/>
  <c r="M289" s="1"/>
  <c r="M298" s="1"/>
  <c r="M307" s="1"/>
  <c r="M316" s="1"/>
  <c r="M325" s="1"/>
  <c r="M334" s="1"/>
  <c r="M343" s="1"/>
  <c r="M352" s="1"/>
  <c r="M361" s="1"/>
  <c r="M370" s="1"/>
  <c r="M379" s="1"/>
  <c r="M388" s="1"/>
  <c r="M397" s="1"/>
  <c r="M406" s="1"/>
  <c r="M415" s="1"/>
  <c r="M424" s="1"/>
  <c r="M433" s="1"/>
  <c r="M442" s="1"/>
  <c r="M451" s="1"/>
  <c r="M460" s="1"/>
  <c r="M469" s="1"/>
  <c r="M478" s="1"/>
  <c r="M487" s="1"/>
  <c r="M496" s="1"/>
  <c r="M505" s="1"/>
  <c r="M514" s="1"/>
  <c r="M523" s="1"/>
  <c r="M532" s="1"/>
  <c r="M541" s="1"/>
  <c r="M550" s="1"/>
  <c r="M559" s="1"/>
  <c r="M568" s="1"/>
  <c r="M577" s="1"/>
  <c r="M586" s="1"/>
  <c r="M595" s="1"/>
  <c r="M604" s="1"/>
  <c r="E19" i="1"/>
  <c r="E28" s="1"/>
  <c r="E37" s="1"/>
  <c r="E46" s="1"/>
  <c r="E55" s="1"/>
  <c r="E64" s="1"/>
  <c r="E73" s="1"/>
  <c r="E82" s="1"/>
  <c r="E91" s="1"/>
  <c r="E100" s="1"/>
  <c r="E109" s="1"/>
  <c r="E118" s="1"/>
  <c r="E127" s="1"/>
  <c r="E136" s="1"/>
  <c r="E145" s="1"/>
  <c r="E154" s="1"/>
  <c r="E163" s="1"/>
  <c r="E172" s="1"/>
  <c r="E181" s="1"/>
  <c r="E190" s="1"/>
  <c r="E199" s="1"/>
  <c r="E208" s="1"/>
  <c r="E217" s="1"/>
  <c r="E226" s="1"/>
  <c r="E235" s="1"/>
  <c r="E244" s="1"/>
  <c r="E253" s="1"/>
  <c r="E262" s="1"/>
  <c r="E271" s="1"/>
  <c r="E280" s="1"/>
  <c r="E289" s="1"/>
  <c r="E298" s="1"/>
  <c r="E307" s="1"/>
  <c r="E316" s="1"/>
  <c r="E325" s="1"/>
  <c r="E334" s="1"/>
  <c r="E343" s="1"/>
  <c r="E352" s="1"/>
  <c r="E361" s="1"/>
  <c r="E370" s="1"/>
  <c r="E379" s="1"/>
  <c r="E388" s="1"/>
  <c r="E397" s="1"/>
  <c r="E406" s="1"/>
  <c r="E415" s="1"/>
  <c r="E424" s="1"/>
  <c r="E433" s="1"/>
  <c r="E442" s="1"/>
  <c r="E451" s="1"/>
  <c r="E460" s="1"/>
  <c r="E469" s="1"/>
  <c r="E478" s="1"/>
  <c r="E487" s="1"/>
  <c r="E496" s="1"/>
  <c r="E505" s="1"/>
  <c r="E514" s="1"/>
  <c r="E523" s="1"/>
  <c r="E532" s="1"/>
  <c r="E541" s="1"/>
  <c r="E550" s="1"/>
  <c r="E559" s="1"/>
  <c r="E568" s="1"/>
  <c r="E577" s="1"/>
  <c r="E586" s="1"/>
  <c r="E595" s="1"/>
  <c r="E604" s="1"/>
  <c r="M19"/>
  <c r="M28" s="1"/>
  <c r="M37" s="1"/>
  <c r="M46" s="1"/>
  <c r="M55" s="1"/>
  <c r="M64" s="1"/>
  <c r="M73" s="1"/>
  <c r="M82" s="1"/>
  <c r="M91" s="1"/>
  <c r="M100" s="1"/>
  <c r="M109" s="1"/>
  <c r="M118" s="1"/>
  <c r="M127" s="1"/>
  <c r="M136" s="1"/>
  <c r="M145" s="1"/>
  <c r="M154" s="1"/>
  <c r="M163" s="1"/>
  <c r="M172" s="1"/>
  <c r="M181" s="1"/>
  <c r="M190" s="1"/>
  <c r="M199" s="1"/>
  <c r="M208" s="1"/>
  <c r="M217" s="1"/>
  <c r="M226" s="1"/>
  <c r="M235" s="1"/>
  <c r="M244" s="1"/>
  <c r="M253" s="1"/>
  <c r="M262" s="1"/>
  <c r="M271" s="1"/>
  <c r="M280" s="1"/>
  <c r="M289" s="1"/>
  <c r="M298" s="1"/>
  <c r="M307" s="1"/>
  <c r="M316" s="1"/>
  <c r="M325" s="1"/>
  <c r="M334" s="1"/>
  <c r="M343" s="1"/>
  <c r="M352" s="1"/>
  <c r="M361" s="1"/>
  <c r="M370" s="1"/>
  <c r="M379" s="1"/>
  <c r="M388" s="1"/>
  <c r="M397" s="1"/>
  <c r="M406" s="1"/>
  <c r="M415" s="1"/>
  <c r="M424" s="1"/>
  <c r="M433" s="1"/>
  <c r="M442" s="1"/>
  <c r="M451" s="1"/>
  <c r="M460" s="1"/>
  <c r="M469" s="1"/>
  <c r="M478" s="1"/>
  <c r="M487" s="1"/>
  <c r="M496" s="1"/>
  <c r="M505" s="1"/>
  <c r="M514" s="1"/>
  <c r="M523" s="1"/>
  <c r="M532" s="1"/>
  <c r="M541" s="1"/>
  <c r="M550" s="1"/>
  <c r="M559" s="1"/>
  <c r="M568" s="1"/>
  <c r="M577" s="1"/>
  <c r="M586" s="1"/>
  <c r="M595" s="1"/>
  <c r="M604" s="1"/>
  <c r="E10"/>
  <c r="I28"/>
  <c r="I37" s="1"/>
  <c r="I46" s="1"/>
  <c r="I55" s="1"/>
  <c r="I64" s="1"/>
  <c r="I73" s="1"/>
  <c r="I82" s="1"/>
  <c r="I91" s="1"/>
  <c r="I100" s="1"/>
  <c r="I109" s="1"/>
  <c r="I118" s="1"/>
  <c r="I127" s="1"/>
  <c r="I136" s="1"/>
  <c r="I145" s="1"/>
  <c r="I154" s="1"/>
  <c r="I163" s="1"/>
  <c r="I172" s="1"/>
  <c r="I181" s="1"/>
  <c r="I190" s="1"/>
  <c r="I199" s="1"/>
  <c r="I208" s="1"/>
  <c r="I217" s="1"/>
  <c r="I226" s="1"/>
  <c r="I235" s="1"/>
  <c r="I244" s="1"/>
  <c r="I253" s="1"/>
  <c r="I262" s="1"/>
  <c r="I271" s="1"/>
  <c r="I280" s="1"/>
  <c r="I289" s="1"/>
  <c r="I298" s="1"/>
  <c r="I307" s="1"/>
  <c r="I316" s="1"/>
  <c r="I325" s="1"/>
  <c r="I334" s="1"/>
  <c r="I343" s="1"/>
  <c r="I352" s="1"/>
  <c r="I361" s="1"/>
  <c r="I370" s="1"/>
  <c r="I379" s="1"/>
  <c r="I388" s="1"/>
  <c r="I397" s="1"/>
  <c r="I406" s="1"/>
  <c r="I415" s="1"/>
  <c r="I424" s="1"/>
  <c r="I433" s="1"/>
  <c r="I442" s="1"/>
  <c r="I451" s="1"/>
  <c r="I460" s="1"/>
  <c r="I469" s="1"/>
  <c r="I478" s="1"/>
  <c r="I487" s="1"/>
  <c r="I496" s="1"/>
  <c r="I505" s="1"/>
  <c r="I514" s="1"/>
  <c r="I523" s="1"/>
  <c r="I532" s="1"/>
  <c r="I541" s="1"/>
  <c r="I550" s="1"/>
  <c r="I559" s="1"/>
  <c r="I568" s="1"/>
  <c r="I577" s="1"/>
  <c r="I586" s="1"/>
  <c r="I595" s="1"/>
  <c r="I604" s="1"/>
  <c r="I19" i="2"/>
  <c r="I28" s="1"/>
  <c r="I37" s="1"/>
  <c r="I46" s="1"/>
  <c r="I55" s="1"/>
  <c r="I64" s="1"/>
  <c r="I73" s="1"/>
  <c r="I82" s="1"/>
  <c r="I91" s="1"/>
  <c r="I100" s="1"/>
  <c r="I109" s="1"/>
  <c r="I118" s="1"/>
  <c r="I127" s="1"/>
  <c r="I136" s="1"/>
  <c r="I145" s="1"/>
  <c r="I154" s="1"/>
  <c r="I163" s="1"/>
  <c r="I172" s="1"/>
  <c r="I181" s="1"/>
  <c r="I190" s="1"/>
  <c r="I199" s="1"/>
  <c r="I208" s="1"/>
  <c r="I217" s="1"/>
  <c r="I226" s="1"/>
  <c r="I235" s="1"/>
  <c r="I244" s="1"/>
  <c r="I253" s="1"/>
  <c r="I262" s="1"/>
  <c r="I271" s="1"/>
  <c r="I280" s="1"/>
  <c r="I289" s="1"/>
  <c r="I298" s="1"/>
  <c r="I307" s="1"/>
  <c r="I316" s="1"/>
  <c r="I325" s="1"/>
  <c r="I334" s="1"/>
  <c r="I343" s="1"/>
  <c r="I352" s="1"/>
  <c r="I361" s="1"/>
  <c r="I370" s="1"/>
  <c r="I379" s="1"/>
  <c r="I388" s="1"/>
  <c r="I397" s="1"/>
  <c r="I406" s="1"/>
  <c r="I415" s="1"/>
  <c r="I424" s="1"/>
  <c r="I433" s="1"/>
  <c r="I442" s="1"/>
  <c r="I451" s="1"/>
  <c r="I460" s="1"/>
  <c r="I469" s="1"/>
  <c r="I478" s="1"/>
  <c r="I487" s="1"/>
  <c r="I496" s="1"/>
  <c r="I505" s="1"/>
  <c r="I514" s="1"/>
  <c r="I523" s="1"/>
  <c r="I532" s="1"/>
  <c r="I541" s="1"/>
  <c r="I550" s="1"/>
  <c r="I559" s="1"/>
  <c r="I568" s="1"/>
  <c r="I577" s="1"/>
  <c r="I586" s="1"/>
  <c r="I595" s="1"/>
  <c r="I604" s="1"/>
  <c r="E28"/>
  <c r="E37" s="1"/>
  <c r="E46" s="1"/>
  <c r="E55" s="1"/>
  <c r="E64" s="1"/>
  <c r="E73" s="1"/>
  <c r="E82" s="1"/>
  <c r="E91" s="1"/>
  <c r="E100" s="1"/>
  <c r="E109" s="1"/>
  <c r="E118" s="1"/>
  <c r="E127" s="1"/>
  <c r="E136" s="1"/>
  <c r="E145" s="1"/>
  <c r="E154" s="1"/>
  <c r="E163" s="1"/>
  <c r="E172" s="1"/>
  <c r="E181" s="1"/>
  <c r="E190" s="1"/>
  <c r="E199" s="1"/>
  <c r="E208" s="1"/>
  <c r="E217" s="1"/>
  <c r="E226" s="1"/>
  <c r="E235" s="1"/>
  <c r="E244" s="1"/>
  <c r="E253" s="1"/>
  <c r="E262" s="1"/>
  <c r="E271" s="1"/>
  <c r="E280" s="1"/>
  <c r="E289" s="1"/>
  <c r="E298" s="1"/>
  <c r="E307" s="1"/>
  <c r="E316" s="1"/>
  <c r="E325" s="1"/>
  <c r="E334" s="1"/>
  <c r="E343" s="1"/>
  <c r="E352" s="1"/>
  <c r="E361" l="1"/>
  <c r="E370" s="1"/>
  <c r="E379" s="1"/>
  <c r="E388" s="1"/>
  <c r="E397" s="1"/>
  <c r="E406" s="1"/>
  <c r="E415" s="1"/>
  <c r="N352"/>
  <c r="E424" l="1"/>
  <c r="E433" s="1"/>
  <c r="E442" s="1"/>
  <c r="E451" s="1"/>
  <c r="E460" s="1"/>
  <c r="E469" s="1"/>
  <c r="E478" s="1"/>
  <c r="N415"/>
  <c r="E487" l="1"/>
  <c r="E496" s="1"/>
  <c r="E505" s="1"/>
  <c r="E514" s="1"/>
  <c r="E523" s="1"/>
  <c r="E532" s="1"/>
  <c r="E541" s="1"/>
  <c r="E550" s="1"/>
  <c r="N478"/>
  <c r="E559" l="1"/>
  <c r="E568" s="1"/>
  <c r="E577" s="1"/>
  <c r="E586" s="1"/>
  <c r="E595" s="1"/>
  <c r="E604" s="1"/>
  <c r="N550"/>
  <c r="N604" l="1"/>
  <c r="N612" s="1"/>
</calcChain>
</file>

<file path=xl/sharedStrings.xml><?xml version="1.0" encoding="utf-8"?>
<sst xmlns="http://schemas.openxmlformats.org/spreadsheetml/2006/main" count="2720" uniqueCount="91">
  <si>
    <t>Serie A</t>
  </si>
  <si>
    <t>Win/Draw/Lose</t>
  </si>
  <si>
    <t>1st half winner</t>
  </si>
  <si>
    <t>2nd half winner</t>
  </si>
  <si>
    <t>Empoli - Lecce</t>
  </si>
  <si>
    <t>W1</t>
  </si>
  <si>
    <t>X</t>
  </si>
  <si>
    <t>W2</t>
  </si>
  <si>
    <t>1st half W1</t>
  </si>
  <si>
    <t>1st half X</t>
  </si>
  <si>
    <t>1st half W2</t>
  </si>
  <si>
    <t>2st half W1</t>
  </si>
  <si>
    <t>2nd half X</t>
  </si>
  <si>
    <t>2nd half W2</t>
  </si>
  <si>
    <t>App</t>
  </si>
  <si>
    <t>Bookmaker</t>
  </si>
  <si>
    <t>Expected payoff</t>
  </si>
  <si>
    <t>Bet</t>
  </si>
  <si>
    <t>Match result</t>
  </si>
  <si>
    <t>Income</t>
  </si>
  <si>
    <t>Udinese - Atalanta</t>
  </si>
  <si>
    <t>Torino - Juventus</t>
  </si>
  <si>
    <t>AC Milan - Cagliari</t>
  </si>
  <si>
    <t>Bologna - AS Roma</t>
  </si>
  <si>
    <t>Napoli - Verona</t>
  </si>
  <si>
    <t>Monza - Fiorentina</t>
  </si>
  <si>
    <t>Premier League</t>
  </si>
  <si>
    <t>Newcastle - Bournemouth</t>
  </si>
  <si>
    <t>Brentford - Liverpool</t>
  </si>
  <si>
    <t>West Ham - Crystal Palace</t>
  </si>
  <si>
    <t>Arsenal - Aston Villa</t>
  </si>
  <si>
    <t>Manchester United - Brighton</t>
  </si>
  <si>
    <t>Chelsea - Wolves</t>
  </si>
  <si>
    <t>La Liga</t>
  </si>
  <si>
    <t>Girona - Sevilla</t>
  </si>
  <si>
    <t>Real Betis - Alaves</t>
  </si>
  <si>
    <t>Getafe - Barcelona</t>
  </si>
  <si>
    <t>Celta Vigo - Athletic Club</t>
  </si>
  <si>
    <t>Real Madrid - Las Palmas</t>
  </si>
  <si>
    <t>Osasuna - Rayo Vallecano</t>
  </si>
  <si>
    <t>Valencia - Real Sociedad</t>
  </si>
  <si>
    <t>Villarreal - Mallorca</t>
  </si>
  <si>
    <t>Bundesliga</t>
  </si>
  <si>
    <t>Eintracht Frankfurt - SC Freiburg</t>
  </si>
  <si>
    <t>VfL Wolfsburg - Borussia Monchengladbach</t>
  </si>
  <si>
    <t>Bayer Leverkusen - FSV Mainz 05</t>
  </si>
  <si>
    <t>Bayern Munich - 1899 Hoffenheim</t>
  </si>
  <si>
    <t>VfB Stuttgart - RB Leipzig</t>
  </si>
  <si>
    <t>Union Berlin - FC Augsburg</t>
  </si>
  <si>
    <t>Ligue 1</t>
  </si>
  <si>
    <t>Montpellier - Monaco</t>
  </si>
  <si>
    <t>Lille - Nice</t>
  </si>
  <si>
    <t>Lens - Paris Saint Germain</t>
  </si>
  <si>
    <t>Rennes - Stade Brestois 29</t>
  </si>
  <si>
    <t>Lyon - Toulouse</t>
  </si>
  <si>
    <t>Saint Etienne - Nantes</t>
  </si>
  <si>
    <t>Marseille - Strasbourg</t>
  </si>
  <si>
    <t>Eintracht Frankfurt - Borussia Dortmund</t>
  </si>
  <si>
    <t>Bayern Munich - VfL Wolfsburg</t>
  </si>
  <si>
    <t>VfB Stuttgart - SC Freiburg</t>
  </si>
  <si>
    <t>Bayer Leverkusen - Borussia Monchengladbach</t>
  </si>
  <si>
    <t>Union Berlin - FSV Mainz 05</t>
  </si>
  <si>
    <t>Werder Bremen - FC Augsburg</t>
  </si>
  <si>
    <t>Bournemouth - Nottingham Forest</t>
  </si>
  <si>
    <t>Wolves - Arsenal</t>
  </si>
  <si>
    <t>Brighton - Everton</t>
  </si>
  <si>
    <t>Manchester City - Chelsea</t>
  </si>
  <si>
    <t>Crystal Palace - Brentford</t>
  </si>
  <si>
    <t>Aston Villa - West Ham</t>
  </si>
  <si>
    <t>Fulham - Manchester United</t>
  </si>
  <si>
    <t>Las Palmas - Osasuna</t>
  </si>
  <si>
    <t>Mallorca - Real Betis</t>
  </si>
  <si>
    <t>Atletico Madrid - Villarreal</t>
  </si>
  <si>
    <t>Rayo Vallecano - Girona</t>
  </si>
  <si>
    <t>Real Sociedad - Getafe</t>
  </si>
  <si>
    <t>Barcelona - Valencia</t>
  </si>
  <si>
    <t>Alaves - Celta Vigo</t>
  </si>
  <si>
    <t>AS Roma - Genoa</t>
  </si>
  <si>
    <t>Bologna - Monza</t>
  </si>
  <si>
    <t>Juventus - AC Milan</t>
  </si>
  <si>
    <t>Atalanta - Napoli</t>
  </si>
  <si>
    <t>Fiorentina - Torino</t>
  </si>
  <si>
    <t>Cagliari - Lecce</t>
  </si>
  <si>
    <t>Verona - Lazio</t>
  </si>
  <si>
    <t>Inter - Empoli</t>
  </si>
  <si>
    <t>Monaco - Rennes</t>
  </si>
  <si>
    <t>Strasbourg - Lille</t>
  </si>
  <si>
    <t>Paris Saint Germain - Reims</t>
  </si>
  <si>
    <t>Nantes - Lyon</t>
  </si>
  <si>
    <t>Toulouse - Montpellier</t>
  </si>
  <si>
    <t>Nice - Marseille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</si>
</sst>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69696"/>
      </patternFill>
    </fill>
    <fill>
      <patternFill patternType="solid">
        <fgColor rgb="FFCCFFCC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2E353D"/>
      </a:dk1>
      <a:lt1>
        <a:sysClr val="window" lastClr="F9F9FB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11"/>
  <sheetViews>
    <sheetView workbookViewId="0"/>
  </sheetViews>
  <sheetFormatPr defaultRowHeight="14.4"/>
  <sheetData>
    <row r="1" spans="1:13">
      <c r="A1" s="1" t="s">
        <v>0</v>
      </c>
      <c r="C1" s="1" t="s">
        <v>1</v>
      </c>
      <c r="E1" s="1">
        <f>0+C8+D8+E8</f>
        <v>0</v>
      </c>
      <c r="G1" s="1" t="s">
        <v>2</v>
      </c>
      <c r="I1" s="1">
        <f>0+G8+H8+I8</f>
        <v>0</v>
      </c>
      <c r="K1" s="1" t="s">
        <v>3</v>
      </c>
      <c r="M1" s="1">
        <f>0+K8+L8+M8</f>
        <v>0</v>
      </c>
    </row>
    <row r="2" spans="1:13">
      <c r="A2" t="s">
        <v>4</v>
      </c>
      <c r="C2" s="2" t="s">
        <v>5</v>
      </c>
      <c r="D2" s="2" t="s">
        <v>6</v>
      </c>
      <c r="E2" s="2" t="s">
        <v>7</v>
      </c>
      <c r="G2" s="2" t="s">
        <v>8</v>
      </c>
      <c r="H2" s="2" t="s">
        <v>9</v>
      </c>
      <c r="I2" s="2" t="s">
        <v>10</v>
      </c>
      <c r="K2" s="2" t="s">
        <v>11</v>
      </c>
      <c r="L2" s="2" t="s">
        <v>12</v>
      </c>
      <c r="M2" s="2" t="s">
        <v>13</v>
      </c>
    </row>
    <row r="3" spans="1:13">
      <c r="A3" t="s">
        <v>14</v>
      </c>
      <c r="C3" s="3">
        <v>4.3849999999999998</v>
      </c>
      <c r="D3" s="3">
        <v>8.2210000000000001</v>
      </c>
      <c r="E3" s="3">
        <v>7.0730000000000004</v>
      </c>
      <c r="G3" s="3">
        <v>7.4009999999999998</v>
      </c>
      <c r="H3" s="3">
        <v>1.048</v>
      </c>
      <c r="I3" s="3">
        <v>8.86</v>
      </c>
      <c r="K3" s="3">
        <v>5.8940000000000001</v>
      </c>
      <c r="L3" s="3">
        <v>3.863</v>
      </c>
      <c r="M3" s="3">
        <v>1.702</v>
      </c>
    </row>
    <row r="4" spans="1:13">
      <c r="A4" t="s">
        <v>15</v>
      </c>
      <c r="C4" s="3">
        <v>0</v>
      </c>
      <c r="D4" s="3">
        <v>0</v>
      </c>
      <c r="E4" s="3">
        <v>0</v>
      </c>
      <c r="G4" s="3">
        <v>0</v>
      </c>
      <c r="H4" s="3">
        <v>0</v>
      </c>
      <c r="I4" s="3">
        <v>0</v>
      </c>
      <c r="K4" s="3">
        <v>0</v>
      </c>
      <c r="L4" s="3">
        <v>0</v>
      </c>
      <c r="M4" s="3">
        <v>0</v>
      </c>
    </row>
    <row r="5" spans="1:13">
      <c r="A5" t="s">
        <v>16</v>
      </c>
      <c r="C5" s="3">
        <f>C4/C3</f>
        <v>0</v>
      </c>
      <c r="D5" s="3">
        <f>D4/D3</f>
        <v>0</v>
      </c>
      <c r="E5" s="3">
        <f>E4/E3</f>
        <v>0</v>
      </c>
      <c r="G5" s="3">
        <f>G4/G3</f>
        <v>0</v>
      </c>
      <c r="H5" s="3">
        <f>H4/H3</f>
        <v>0</v>
      </c>
      <c r="I5" s="3">
        <f>I4/I3</f>
        <v>0</v>
      </c>
      <c r="K5" s="3">
        <f>K4/K3</f>
        <v>0</v>
      </c>
      <c r="L5" s="3">
        <f>L4/L3</f>
        <v>0</v>
      </c>
      <c r="M5" s="3">
        <f>M4/M3</f>
        <v>0</v>
      </c>
    </row>
    <row r="6" spans="1:13">
      <c r="A6" t="s">
        <v>17</v>
      </c>
      <c r="C6" s="3">
        <v>0</v>
      </c>
      <c r="D6" s="3">
        <v>0</v>
      </c>
      <c r="E6" s="3">
        <v>0</v>
      </c>
      <c r="G6" s="3">
        <v>0</v>
      </c>
      <c r="H6" s="3">
        <v>0</v>
      </c>
      <c r="I6" s="3">
        <v>0</v>
      </c>
      <c r="K6" s="3">
        <v>0</v>
      </c>
      <c r="L6" s="3">
        <v>0</v>
      </c>
      <c r="M6" s="3">
        <v>0</v>
      </c>
    </row>
    <row r="7" spans="1:13">
      <c r="A7" t="s">
        <v>18</v>
      </c>
      <c r="C7" s="3">
        <v>0</v>
      </c>
      <c r="D7" s="3">
        <v>0</v>
      </c>
      <c r="E7" s="3">
        <v>0</v>
      </c>
      <c r="G7" s="3">
        <v>0</v>
      </c>
      <c r="H7" s="3">
        <v>0</v>
      </c>
      <c r="I7" s="3">
        <v>0</v>
      </c>
      <c r="K7" s="3">
        <v>0</v>
      </c>
      <c r="L7" s="3">
        <v>0</v>
      </c>
      <c r="M7" s="3">
        <v>0</v>
      </c>
    </row>
    <row r="8" spans="1:13">
      <c r="A8" t="s">
        <v>19</v>
      </c>
      <c r="C8" s="3">
        <f>C4*C7*C6-C6</f>
        <v>0</v>
      </c>
      <c r="D8" s="3">
        <f>D4*D7*D6-D6</f>
        <v>0</v>
      </c>
      <c r="E8" s="3">
        <f>E4*E7*E6-E6</f>
        <v>0</v>
      </c>
      <c r="G8" s="3">
        <f>G4*G7*G6-G6</f>
        <v>0</v>
      </c>
      <c r="H8" s="3">
        <f>H4*H7*H6-H6</f>
        <v>0</v>
      </c>
      <c r="I8" s="3">
        <f>I4*I7*I6-I6</f>
        <v>0</v>
      </c>
      <c r="K8" s="3">
        <f>K4*K7*K6-K6</f>
        <v>0</v>
      </c>
      <c r="L8" s="3">
        <f>L4*L7*L6-L6</f>
        <v>0</v>
      </c>
      <c r="M8" s="3">
        <f>M4*M7*M6-M6</f>
        <v>0</v>
      </c>
    </row>
    <row r="10" spans="1:13">
      <c r="A10" s="1" t="s">
        <v>0</v>
      </c>
      <c r="C10" s="1" t="s">
        <v>1</v>
      </c>
      <c r="E10" s="1">
        <f>0+C17+D17+E17 + E1</f>
        <v>0</v>
      </c>
      <c r="G10" s="1" t="s">
        <v>2</v>
      </c>
      <c r="I10" s="1">
        <f>0+G17+H17+I17 + I1</f>
        <v>0</v>
      </c>
      <c r="K10" s="1" t="s">
        <v>3</v>
      </c>
      <c r="M10" s="1">
        <f>0+K17+L17+M17 + M1</f>
        <v>0</v>
      </c>
    </row>
    <row r="11" spans="1:13">
      <c r="A11" t="s">
        <v>20</v>
      </c>
      <c r="C11" s="2" t="s">
        <v>5</v>
      </c>
      <c r="D11" s="2" t="s">
        <v>6</v>
      </c>
      <c r="E11" s="2" t="s">
        <v>7</v>
      </c>
      <c r="G11" s="2" t="s">
        <v>8</v>
      </c>
      <c r="H11" s="2" t="s">
        <v>9</v>
      </c>
      <c r="I11" s="2" t="s">
        <v>10</v>
      </c>
      <c r="K11" s="2" t="s">
        <v>11</v>
      </c>
      <c r="L11" s="2" t="s">
        <v>12</v>
      </c>
      <c r="M11" s="2" t="s">
        <v>13</v>
      </c>
    </row>
    <row r="12" spans="1:13">
      <c r="A12" t="s">
        <v>14</v>
      </c>
      <c r="C12" s="3">
        <v>11.093999999999999</v>
      </c>
      <c r="D12" s="3">
        <v>2.169</v>
      </c>
      <c r="E12" s="3">
        <v>5.125</v>
      </c>
      <c r="G12" s="3">
        <v>4.6660000000000004</v>
      </c>
      <c r="H12" s="3">
        <v>2.1949999999999998</v>
      </c>
      <c r="I12" s="3">
        <v>1.954</v>
      </c>
      <c r="K12" s="3">
        <v>11.672000000000001</v>
      </c>
      <c r="L12" s="3">
        <v>4.5469999999999997</v>
      </c>
      <c r="M12" s="3">
        <v>2.8559999999999999</v>
      </c>
    </row>
    <row r="13" spans="1:13">
      <c r="A13" t="s">
        <v>15</v>
      </c>
      <c r="C13" s="3">
        <v>0</v>
      </c>
      <c r="D13" s="3">
        <v>0</v>
      </c>
      <c r="E13" s="3">
        <v>0</v>
      </c>
      <c r="G13" s="3">
        <v>0</v>
      </c>
      <c r="H13" s="3">
        <v>0</v>
      </c>
      <c r="I13" s="3">
        <v>0</v>
      </c>
      <c r="K13" s="3">
        <v>0</v>
      </c>
      <c r="L13" s="3">
        <v>0</v>
      </c>
      <c r="M13" s="3">
        <v>0</v>
      </c>
    </row>
    <row r="14" spans="1:13">
      <c r="A14" t="s">
        <v>16</v>
      </c>
      <c r="C14" s="3">
        <f>C13/C12</f>
        <v>0</v>
      </c>
      <c r="D14" s="3">
        <f>D13/D12</f>
        <v>0</v>
      </c>
      <c r="E14" s="3">
        <f>E13/E12</f>
        <v>0</v>
      </c>
      <c r="G14" s="3">
        <f>G13/G12</f>
        <v>0</v>
      </c>
      <c r="H14" s="3">
        <f>H13/H12</f>
        <v>0</v>
      </c>
      <c r="I14" s="3">
        <f>I13/I12</f>
        <v>0</v>
      </c>
      <c r="K14" s="3">
        <f>K13/K12</f>
        <v>0</v>
      </c>
      <c r="L14" s="3">
        <f>L13/L12</f>
        <v>0</v>
      </c>
      <c r="M14" s="3">
        <f>M13/M12</f>
        <v>0</v>
      </c>
    </row>
    <row r="15" spans="1:13">
      <c r="A15" t="s">
        <v>17</v>
      </c>
      <c r="C15" s="3">
        <v>0</v>
      </c>
      <c r="D15" s="3">
        <v>0</v>
      </c>
      <c r="E15" s="3">
        <v>0</v>
      </c>
      <c r="G15" s="3">
        <v>0</v>
      </c>
      <c r="H15" s="3">
        <v>0</v>
      </c>
      <c r="I15" s="3">
        <v>0</v>
      </c>
      <c r="K15" s="3">
        <v>0</v>
      </c>
      <c r="L15" s="3">
        <v>0</v>
      </c>
      <c r="M15" s="3">
        <v>0</v>
      </c>
    </row>
    <row r="16" spans="1:13">
      <c r="A16" t="s">
        <v>18</v>
      </c>
      <c r="C16" s="3">
        <v>0</v>
      </c>
      <c r="D16" s="3">
        <v>0</v>
      </c>
      <c r="E16" s="3">
        <v>0</v>
      </c>
      <c r="G16" s="3">
        <v>0</v>
      </c>
      <c r="H16" s="3">
        <v>0</v>
      </c>
      <c r="I16" s="3">
        <v>0</v>
      </c>
      <c r="K16" s="3">
        <v>0</v>
      </c>
      <c r="L16" s="3">
        <v>0</v>
      </c>
      <c r="M16" s="3">
        <v>0</v>
      </c>
    </row>
    <row r="17" spans="1:13">
      <c r="A17" t="s">
        <v>19</v>
      </c>
      <c r="C17" s="3">
        <f>C13*C16*C15-C15</f>
        <v>0</v>
      </c>
      <c r="D17" s="3">
        <f>D13*D16*D15-D15</f>
        <v>0</v>
      </c>
      <c r="E17" s="3">
        <f>E13*E16*E15-E15</f>
        <v>0</v>
      </c>
      <c r="G17" s="3">
        <f>G13*G16*G15-G15</f>
        <v>0</v>
      </c>
      <c r="H17" s="3">
        <f>H13*H16*H15-H15</f>
        <v>0</v>
      </c>
      <c r="I17" s="3">
        <f>I13*I16*I15-I15</f>
        <v>0</v>
      </c>
      <c r="K17" s="3">
        <f>K13*K16*K15-K15</f>
        <v>0</v>
      </c>
      <c r="L17" s="3">
        <f>L13*L16*L15-L15</f>
        <v>0</v>
      </c>
      <c r="M17" s="3">
        <f>M13*M16*M15-M15</f>
        <v>0</v>
      </c>
    </row>
    <row r="19" spans="1:13">
      <c r="A19" s="1" t="s">
        <v>0</v>
      </c>
      <c r="C19" s="1" t="s">
        <v>1</v>
      </c>
      <c r="E19" s="1">
        <f>0+C26+D26+E26 + E10</f>
        <v>0</v>
      </c>
      <c r="G19" s="1" t="s">
        <v>2</v>
      </c>
      <c r="I19" s="1">
        <f>0+G26+H26+I26 + I10</f>
        <v>0</v>
      </c>
      <c r="K19" s="1" t="s">
        <v>3</v>
      </c>
      <c r="M19" s="1">
        <f>0+K26+L26+M26 + M10</f>
        <v>0</v>
      </c>
    </row>
    <row r="20" spans="1:13">
      <c r="A20" t="s">
        <v>21</v>
      </c>
      <c r="C20" s="2" t="s">
        <v>5</v>
      </c>
      <c r="D20" s="2" t="s">
        <v>6</v>
      </c>
      <c r="E20" s="2" t="s">
        <v>7</v>
      </c>
      <c r="G20" s="2" t="s">
        <v>8</v>
      </c>
      <c r="H20" s="2" t="s">
        <v>9</v>
      </c>
      <c r="I20" s="2" t="s">
        <v>10</v>
      </c>
      <c r="K20" s="2" t="s">
        <v>11</v>
      </c>
      <c r="L20" s="2" t="s">
        <v>12</v>
      </c>
      <c r="M20" s="2" t="s">
        <v>13</v>
      </c>
    </row>
    <row r="21" spans="1:13">
      <c r="A21" t="s">
        <v>14</v>
      </c>
      <c r="C21" s="3">
        <v>11.569000000000001</v>
      </c>
      <c r="D21" s="3">
        <v>1.6850000000000001</v>
      </c>
      <c r="E21" s="3">
        <v>1.7789999999999999</v>
      </c>
      <c r="G21" s="3">
        <v>13.474</v>
      </c>
      <c r="H21" s="3">
        <v>1.411</v>
      </c>
      <c r="I21" s="3">
        <v>6.4530000000000003</v>
      </c>
      <c r="K21" s="3">
        <v>4.2300000000000004</v>
      </c>
      <c r="L21" s="3">
        <v>1.3140000000000001</v>
      </c>
      <c r="M21" s="3">
        <v>1.9239999999999999</v>
      </c>
    </row>
    <row r="22" spans="1:13">
      <c r="A22" t="s">
        <v>15</v>
      </c>
      <c r="C22" s="3">
        <v>0</v>
      </c>
      <c r="D22" s="3">
        <v>0</v>
      </c>
      <c r="E22" s="3">
        <v>0</v>
      </c>
      <c r="G22" s="3">
        <v>0</v>
      </c>
      <c r="H22" s="3">
        <v>0</v>
      </c>
      <c r="I22" s="3">
        <v>0</v>
      </c>
      <c r="K22" s="3">
        <v>0</v>
      </c>
      <c r="L22" s="3">
        <v>0</v>
      </c>
      <c r="M22" s="3">
        <v>0</v>
      </c>
    </row>
    <row r="23" spans="1:13">
      <c r="A23" t="s">
        <v>16</v>
      </c>
      <c r="C23" s="3">
        <f>C22/C21</f>
        <v>0</v>
      </c>
      <c r="D23" s="3">
        <f>D22/D21</f>
        <v>0</v>
      </c>
      <c r="E23" s="3">
        <f>E22/E21</f>
        <v>0</v>
      </c>
      <c r="G23" s="3">
        <f>G22/G21</f>
        <v>0</v>
      </c>
      <c r="H23" s="3">
        <f>H22/H21</f>
        <v>0</v>
      </c>
      <c r="I23" s="3">
        <f>I22/I21</f>
        <v>0</v>
      </c>
      <c r="K23" s="3">
        <f>K22/K21</f>
        <v>0</v>
      </c>
      <c r="L23" s="3">
        <f>L22/L21</f>
        <v>0</v>
      </c>
      <c r="M23" s="3">
        <f>M22/M21</f>
        <v>0</v>
      </c>
    </row>
    <row r="24" spans="1:13">
      <c r="A24" t="s">
        <v>17</v>
      </c>
      <c r="C24" s="3">
        <v>0</v>
      </c>
      <c r="D24" s="3">
        <v>0</v>
      </c>
      <c r="E24" s="3">
        <v>0</v>
      </c>
      <c r="G24" s="3">
        <v>0</v>
      </c>
      <c r="H24" s="3">
        <v>0</v>
      </c>
      <c r="I24" s="3">
        <v>0</v>
      </c>
      <c r="K24" s="3">
        <v>0</v>
      </c>
      <c r="L24" s="3">
        <v>0</v>
      </c>
      <c r="M24" s="3">
        <v>0</v>
      </c>
    </row>
    <row r="25" spans="1:13">
      <c r="A25" t="s">
        <v>18</v>
      </c>
      <c r="C25" s="3">
        <v>0</v>
      </c>
      <c r="D25" s="3">
        <v>0</v>
      </c>
      <c r="E25" s="3">
        <v>0</v>
      </c>
      <c r="G25" s="3">
        <v>0</v>
      </c>
      <c r="H25" s="3">
        <v>0</v>
      </c>
      <c r="I25" s="3">
        <v>0</v>
      </c>
      <c r="K25" s="3">
        <v>0</v>
      </c>
      <c r="L25" s="3">
        <v>0</v>
      </c>
      <c r="M25" s="3">
        <v>0</v>
      </c>
    </row>
    <row r="26" spans="1:13">
      <c r="A26" t="s">
        <v>19</v>
      </c>
      <c r="C26" s="3">
        <f>C22*C25*C24-C24</f>
        <v>0</v>
      </c>
      <c r="D26" s="3">
        <f>D22*D25*D24-D24</f>
        <v>0</v>
      </c>
      <c r="E26" s="3">
        <f>E22*E25*E24-E24</f>
        <v>0</v>
      </c>
      <c r="G26" s="3">
        <f>G22*G25*G24-G24</f>
        <v>0</v>
      </c>
      <c r="H26" s="3">
        <f>H22*H25*H24-H24</f>
        <v>0</v>
      </c>
      <c r="I26" s="3">
        <f>I22*I25*I24-I24</f>
        <v>0</v>
      </c>
      <c r="K26" s="3">
        <f>K22*K25*K24-K24</f>
        <v>0</v>
      </c>
      <c r="L26" s="3">
        <f>L22*L25*L24-L24</f>
        <v>0</v>
      </c>
      <c r="M26" s="3">
        <f>M22*M25*M24-M24</f>
        <v>0</v>
      </c>
    </row>
    <row r="28" spans="1:13">
      <c r="A28" s="1" t="s">
        <v>0</v>
      </c>
      <c r="C28" s="1" t="s">
        <v>1</v>
      </c>
      <c r="E28" s="1">
        <f>0+C35+D35+E35 + E19</f>
        <v>0</v>
      </c>
      <c r="G28" s="1" t="s">
        <v>2</v>
      </c>
      <c r="I28" s="1">
        <f>0+G35+H35+I35 + I19</f>
        <v>0</v>
      </c>
      <c r="K28" s="1" t="s">
        <v>3</v>
      </c>
      <c r="M28" s="1">
        <f>0+K35+L35+M35 + M19</f>
        <v>0</v>
      </c>
    </row>
    <row r="29" spans="1:13">
      <c r="A29" t="s">
        <v>22</v>
      </c>
      <c r="C29" s="2" t="s">
        <v>5</v>
      </c>
      <c r="D29" s="2" t="s">
        <v>6</v>
      </c>
      <c r="E29" s="2" t="s">
        <v>7</v>
      </c>
      <c r="G29" s="2" t="s">
        <v>8</v>
      </c>
      <c r="H29" s="2" t="s">
        <v>9</v>
      </c>
      <c r="I29" s="2" t="s">
        <v>10</v>
      </c>
      <c r="K29" s="2" t="s">
        <v>11</v>
      </c>
      <c r="L29" s="2" t="s">
        <v>12</v>
      </c>
      <c r="M29" s="2" t="s">
        <v>13</v>
      </c>
    </row>
    <row r="30" spans="1:13">
      <c r="A30" t="s">
        <v>14</v>
      </c>
      <c r="C30" s="3">
        <v>1.4410000000000001</v>
      </c>
      <c r="D30" s="3">
        <v>5.9409999999999998</v>
      </c>
      <c r="E30" s="3">
        <v>5.9560000000000004</v>
      </c>
      <c r="G30" s="3">
        <v>11.262</v>
      </c>
      <c r="H30" s="3">
        <v>2.052</v>
      </c>
      <c r="I30" s="3">
        <v>7.7910000000000004</v>
      </c>
      <c r="K30" s="3">
        <v>2.024</v>
      </c>
      <c r="L30" s="3">
        <v>2.3889999999999998</v>
      </c>
      <c r="M30" s="3">
        <v>8.6059999999999999</v>
      </c>
    </row>
    <row r="31" spans="1:13">
      <c r="A31" t="s">
        <v>15</v>
      </c>
      <c r="C31" s="3">
        <v>0</v>
      </c>
      <c r="D31" s="3">
        <v>0</v>
      </c>
      <c r="E31" s="3">
        <v>0</v>
      </c>
      <c r="G31" s="3">
        <v>0</v>
      </c>
      <c r="H31" s="3">
        <v>0</v>
      </c>
      <c r="I31" s="3">
        <v>0</v>
      </c>
      <c r="K31" s="3">
        <v>0</v>
      </c>
      <c r="L31" s="3">
        <v>0</v>
      </c>
      <c r="M31" s="3">
        <v>0</v>
      </c>
    </row>
    <row r="32" spans="1:13">
      <c r="A32" t="s">
        <v>16</v>
      </c>
      <c r="C32" s="3">
        <f>C31/C30</f>
        <v>0</v>
      </c>
      <c r="D32" s="3">
        <f>D31/D30</f>
        <v>0</v>
      </c>
      <c r="E32" s="3">
        <f>E31/E30</f>
        <v>0</v>
      </c>
      <c r="G32" s="3">
        <f>G31/G30</f>
        <v>0</v>
      </c>
      <c r="H32" s="3">
        <f>H31/H30</f>
        <v>0</v>
      </c>
      <c r="I32" s="3">
        <f>I31/I30</f>
        <v>0</v>
      </c>
      <c r="K32" s="3">
        <f>K31/K30</f>
        <v>0</v>
      </c>
      <c r="L32" s="3">
        <f>L31/L30</f>
        <v>0</v>
      </c>
      <c r="M32" s="3">
        <f>M31/M30</f>
        <v>0</v>
      </c>
    </row>
    <row r="33" spans="1:13">
      <c r="A33" t="s">
        <v>17</v>
      </c>
      <c r="C33" s="3">
        <v>0</v>
      </c>
      <c r="D33" s="3">
        <v>0</v>
      </c>
      <c r="E33" s="3">
        <v>0</v>
      </c>
      <c r="G33" s="3">
        <v>0</v>
      </c>
      <c r="H33" s="3">
        <v>0</v>
      </c>
      <c r="I33" s="3">
        <v>0</v>
      </c>
      <c r="K33" s="3">
        <v>0</v>
      </c>
      <c r="L33" s="3">
        <v>0</v>
      </c>
      <c r="M33" s="3">
        <v>0</v>
      </c>
    </row>
    <row r="34" spans="1:13">
      <c r="A34" t="s">
        <v>18</v>
      </c>
      <c r="C34" s="3">
        <v>0</v>
      </c>
      <c r="D34" s="3">
        <v>0</v>
      </c>
      <c r="E34" s="3">
        <v>0</v>
      </c>
      <c r="G34" s="3">
        <v>0</v>
      </c>
      <c r="H34" s="3">
        <v>0</v>
      </c>
      <c r="I34" s="3">
        <v>0</v>
      </c>
      <c r="K34" s="3">
        <v>0</v>
      </c>
      <c r="L34" s="3">
        <v>0</v>
      </c>
      <c r="M34" s="3">
        <v>0</v>
      </c>
    </row>
    <row r="35" spans="1:13">
      <c r="A35" t="s">
        <v>19</v>
      </c>
      <c r="C35" s="3">
        <f>C31*C34*C33-C33</f>
        <v>0</v>
      </c>
      <c r="D35" s="3">
        <f>D31*D34*D33-D33</f>
        <v>0</v>
      </c>
      <c r="E35" s="3">
        <f>E31*E34*E33-E33</f>
        <v>0</v>
      </c>
      <c r="G35" s="3">
        <f>G31*G34*G33-G33</f>
        <v>0</v>
      </c>
      <c r="H35" s="3">
        <f>H31*H34*H33-H33</f>
        <v>0</v>
      </c>
      <c r="I35" s="3">
        <f>I31*I34*I33-I33</f>
        <v>0</v>
      </c>
      <c r="K35" s="3">
        <f>K31*K34*K33-K33</f>
        <v>0</v>
      </c>
      <c r="L35" s="3">
        <f>L31*L34*L33-L33</f>
        <v>0</v>
      </c>
      <c r="M35" s="3">
        <f>M31*M34*M33-M33</f>
        <v>0</v>
      </c>
    </row>
    <row r="37" spans="1:13">
      <c r="A37" s="1" t="s">
        <v>0</v>
      </c>
      <c r="C37" s="1" t="s">
        <v>1</v>
      </c>
      <c r="E37" s="1">
        <f>0+C44+D44+E44 + E28</f>
        <v>0</v>
      </c>
      <c r="G37" s="1" t="s">
        <v>2</v>
      </c>
      <c r="I37" s="1">
        <f>0+G44+H44+I44 + I28</f>
        <v>0</v>
      </c>
      <c r="K37" s="1" t="s">
        <v>3</v>
      </c>
      <c r="M37" s="1">
        <f>0+K44+L44+M44 + M28</f>
        <v>0</v>
      </c>
    </row>
    <row r="38" spans="1:13">
      <c r="A38" t="s">
        <v>23</v>
      </c>
      <c r="C38" s="2" t="s">
        <v>5</v>
      </c>
      <c r="D38" s="2" t="s">
        <v>6</v>
      </c>
      <c r="E38" s="2" t="s">
        <v>7</v>
      </c>
      <c r="G38" s="2" t="s">
        <v>8</v>
      </c>
      <c r="H38" s="2" t="s">
        <v>9</v>
      </c>
      <c r="I38" s="2" t="s">
        <v>10</v>
      </c>
      <c r="K38" s="2" t="s">
        <v>11</v>
      </c>
      <c r="L38" s="2" t="s">
        <v>12</v>
      </c>
      <c r="M38" s="2" t="s">
        <v>13</v>
      </c>
    </row>
    <row r="39" spans="1:13">
      <c r="A39" t="s">
        <v>14</v>
      </c>
      <c r="C39" s="3">
        <v>4.1630000000000003</v>
      </c>
      <c r="D39" s="3">
        <v>2.9340000000000002</v>
      </c>
      <c r="E39" s="3">
        <v>9.4629999999999992</v>
      </c>
      <c r="G39" s="3">
        <v>5.0519999999999996</v>
      </c>
      <c r="H39" s="3">
        <v>2.6520000000000001</v>
      </c>
      <c r="I39" s="3">
        <v>1.47</v>
      </c>
      <c r="K39" s="3">
        <v>2.4660000000000002</v>
      </c>
      <c r="L39" s="3">
        <v>2.5</v>
      </c>
      <c r="M39" s="3">
        <v>5.7770000000000001</v>
      </c>
    </row>
    <row r="40" spans="1:13">
      <c r="A40" t="s">
        <v>15</v>
      </c>
      <c r="C40" s="3">
        <v>0</v>
      </c>
      <c r="D40" s="3">
        <v>0</v>
      </c>
      <c r="E40" s="3">
        <v>0</v>
      </c>
      <c r="G40" s="3">
        <v>0</v>
      </c>
      <c r="H40" s="3">
        <v>0</v>
      </c>
      <c r="I40" s="3">
        <v>0</v>
      </c>
      <c r="K40" s="3">
        <v>0</v>
      </c>
      <c r="L40" s="3">
        <v>0</v>
      </c>
      <c r="M40" s="3">
        <v>0</v>
      </c>
    </row>
    <row r="41" spans="1:13">
      <c r="A41" t="s">
        <v>16</v>
      </c>
      <c r="C41" s="3">
        <f>C40/C39</f>
        <v>0</v>
      </c>
      <c r="D41" s="3">
        <f>D40/D39</f>
        <v>0</v>
      </c>
      <c r="E41" s="3">
        <f>E40/E39</f>
        <v>0</v>
      </c>
      <c r="G41" s="3">
        <f>G40/G39</f>
        <v>0</v>
      </c>
      <c r="H41" s="3">
        <f>H40/H39</f>
        <v>0</v>
      </c>
      <c r="I41" s="3">
        <f>I40/I39</f>
        <v>0</v>
      </c>
      <c r="K41" s="3">
        <f>K40/K39</f>
        <v>0</v>
      </c>
      <c r="L41" s="3">
        <f>L40/L39</f>
        <v>0</v>
      </c>
      <c r="M41" s="3">
        <f>M40/M39</f>
        <v>0</v>
      </c>
    </row>
    <row r="42" spans="1:13">
      <c r="A42" t="s">
        <v>17</v>
      </c>
      <c r="C42" s="3">
        <v>0</v>
      </c>
      <c r="D42" s="3">
        <v>0</v>
      </c>
      <c r="E42" s="3">
        <v>0</v>
      </c>
      <c r="G42" s="3">
        <v>0</v>
      </c>
      <c r="H42" s="3">
        <v>0</v>
      </c>
      <c r="I42" s="3">
        <v>0</v>
      </c>
      <c r="K42" s="3">
        <v>0</v>
      </c>
      <c r="L42" s="3">
        <v>0</v>
      </c>
      <c r="M42" s="3">
        <v>0</v>
      </c>
    </row>
    <row r="43" spans="1:13">
      <c r="A43" t="s">
        <v>18</v>
      </c>
      <c r="C43" s="3">
        <v>0</v>
      </c>
      <c r="D43" s="3">
        <v>0</v>
      </c>
      <c r="E43" s="3">
        <v>0</v>
      </c>
      <c r="G43" s="3">
        <v>0</v>
      </c>
      <c r="H43" s="3">
        <v>0</v>
      </c>
      <c r="I43" s="3">
        <v>0</v>
      </c>
      <c r="K43" s="3">
        <v>0</v>
      </c>
      <c r="L43" s="3">
        <v>0</v>
      </c>
      <c r="M43" s="3">
        <v>0</v>
      </c>
    </row>
    <row r="44" spans="1:13">
      <c r="A44" t="s">
        <v>19</v>
      </c>
      <c r="C44" s="3">
        <f>C40*C43*C42-C42</f>
        <v>0</v>
      </c>
      <c r="D44" s="3">
        <f>D40*D43*D42-D42</f>
        <v>0</v>
      </c>
      <c r="E44" s="3">
        <f>E40*E43*E42-E42</f>
        <v>0</v>
      </c>
      <c r="G44" s="3">
        <f>G40*G43*G42-G42</f>
        <v>0</v>
      </c>
      <c r="H44" s="3">
        <f>H40*H43*H42-H42</f>
        <v>0</v>
      </c>
      <c r="I44" s="3">
        <f>I40*I43*I42-I42</f>
        <v>0</v>
      </c>
      <c r="K44" s="3">
        <f>K40*K43*K42-K42</f>
        <v>0</v>
      </c>
      <c r="L44" s="3">
        <f>L40*L43*L42-L42</f>
        <v>0</v>
      </c>
      <c r="M44" s="3">
        <f>M40*M43*M42-M42</f>
        <v>0</v>
      </c>
    </row>
    <row r="46" spans="1:13">
      <c r="A46" s="1" t="s">
        <v>0</v>
      </c>
      <c r="C46" s="1" t="s">
        <v>1</v>
      </c>
      <c r="E46" s="1">
        <f>0+C53+D53+E53 + E37</f>
        <v>0</v>
      </c>
      <c r="G46" s="1" t="s">
        <v>2</v>
      </c>
      <c r="I46" s="1">
        <f>0+G53+H53+I53 + I37</f>
        <v>0</v>
      </c>
      <c r="K46" s="1" t="s">
        <v>3</v>
      </c>
      <c r="M46" s="1">
        <f>0+K53+L53+M53 + M37</f>
        <v>0</v>
      </c>
    </row>
    <row r="47" spans="1:13">
      <c r="A47" t="s">
        <v>24</v>
      </c>
      <c r="C47" s="2" t="s">
        <v>5</v>
      </c>
      <c r="D47" s="2" t="s">
        <v>6</v>
      </c>
      <c r="E47" s="2" t="s">
        <v>7</v>
      </c>
      <c r="G47" s="2" t="s">
        <v>8</v>
      </c>
      <c r="H47" s="2" t="s">
        <v>9</v>
      </c>
      <c r="I47" s="2" t="s">
        <v>10</v>
      </c>
      <c r="K47" s="2" t="s">
        <v>11</v>
      </c>
      <c r="L47" s="2" t="s">
        <v>12</v>
      </c>
      <c r="M47" s="2" t="s">
        <v>13</v>
      </c>
    </row>
    <row r="48" spans="1:13">
      <c r="A48" t="s">
        <v>14</v>
      </c>
      <c r="C48" s="3">
        <v>2.1320000000000001</v>
      </c>
      <c r="D48" s="3">
        <v>13.657</v>
      </c>
      <c r="E48" s="3">
        <v>39.706000000000003</v>
      </c>
      <c r="G48" s="3">
        <v>1.4910000000000001</v>
      </c>
      <c r="H48" s="3">
        <v>2.7869999999999999</v>
      </c>
      <c r="I48" s="3">
        <v>11.087999999999999</v>
      </c>
      <c r="K48" s="3">
        <v>2.2549999999999999</v>
      </c>
      <c r="L48" s="3">
        <v>7.8159999999999998</v>
      </c>
      <c r="M48" s="3">
        <v>10.039</v>
      </c>
    </row>
    <row r="49" spans="1:13">
      <c r="A49" t="s">
        <v>15</v>
      </c>
      <c r="C49" s="3">
        <v>0</v>
      </c>
      <c r="D49" s="3">
        <v>0</v>
      </c>
      <c r="E49" s="3">
        <v>0</v>
      </c>
      <c r="G49" s="3">
        <v>0</v>
      </c>
      <c r="H49" s="3">
        <v>0</v>
      </c>
      <c r="I49" s="3">
        <v>0</v>
      </c>
      <c r="K49" s="3">
        <v>0</v>
      </c>
      <c r="L49" s="3">
        <v>0</v>
      </c>
      <c r="M49" s="3">
        <v>0</v>
      </c>
    </row>
    <row r="50" spans="1:13">
      <c r="A50" t="s">
        <v>16</v>
      </c>
      <c r="C50" s="3">
        <f>C49/C48</f>
        <v>0</v>
      </c>
      <c r="D50" s="3">
        <f>D49/D48</f>
        <v>0</v>
      </c>
      <c r="E50" s="3">
        <f>E49/E48</f>
        <v>0</v>
      </c>
      <c r="G50" s="3">
        <f>G49/G48</f>
        <v>0</v>
      </c>
      <c r="H50" s="3">
        <f>H49/H48</f>
        <v>0</v>
      </c>
      <c r="I50" s="3">
        <f>I49/I48</f>
        <v>0</v>
      </c>
      <c r="K50" s="3">
        <f>K49/K48</f>
        <v>0</v>
      </c>
      <c r="L50" s="3">
        <f>L49/L48</f>
        <v>0</v>
      </c>
      <c r="M50" s="3">
        <f>M49/M48</f>
        <v>0</v>
      </c>
    </row>
    <row r="51" spans="1:13">
      <c r="A51" t="s">
        <v>17</v>
      </c>
      <c r="C51" s="3">
        <v>0</v>
      </c>
      <c r="D51" s="3">
        <v>0</v>
      </c>
      <c r="E51" s="3">
        <v>0</v>
      </c>
      <c r="G51" s="3">
        <v>0</v>
      </c>
      <c r="H51" s="3">
        <v>0</v>
      </c>
      <c r="I51" s="3">
        <v>0</v>
      </c>
      <c r="K51" s="3">
        <v>0</v>
      </c>
      <c r="L51" s="3">
        <v>0</v>
      </c>
      <c r="M51" s="3">
        <v>0</v>
      </c>
    </row>
    <row r="52" spans="1:13">
      <c r="A52" t="s">
        <v>18</v>
      </c>
      <c r="C52" s="3">
        <v>0</v>
      </c>
      <c r="D52" s="3">
        <v>0</v>
      </c>
      <c r="E52" s="3">
        <v>0</v>
      </c>
      <c r="G52" s="3">
        <v>0</v>
      </c>
      <c r="H52" s="3">
        <v>0</v>
      </c>
      <c r="I52" s="3">
        <v>0</v>
      </c>
      <c r="K52" s="3">
        <v>0</v>
      </c>
      <c r="L52" s="3">
        <v>0</v>
      </c>
      <c r="M52" s="3">
        <v>0</v>
      </c>
    </row>
    <row r="53" spans="1:13">
      <c r="A53" t="s">
        <v>19</v>
      </c>
      <c r="C53" s="3">
        <f>C49*C52*C51-C51</f>
        <v>0</v>
      </c>
      <c r="D53" s="3">
        <f>D49*D52*D51-D51</f>
        <v>0</v>
      </c>
      <c r="E53" s="3">
        <f>E49*E52*E51-E51</f>
        <v>0</v>
      </c>
      <c r="G53" s="3">
        <f>G49*G52*G51-G51</f>
        <v>0</v>
      </c>
      <c r="H53" s="3">
        <f>H49*H52*H51-H51</f>
        <v>0</v>
      </c>
      <c r="I53" s="3">
        <f>I49*I52*I51-I51</f>
        <v>0</v>
      </c>
      <c r="K53" s="3">
        <f>K49*K52*K51-K51</f>
        <v>0</v>
      </c>
      <c r="L53" s="3">
        <f>L49*L52*L51-L51</f>
        <v>0</v>
      </c>
      <c r="M53" s="3">
        <f>M49*M52*M51-M51</f>
        <v>0</v>
      </c>
    </row>
    <row r="55" spans="1:13">
      <c r="A55" s="1" t="s">
        <v>0</v>
      </c>
      <c r="C55" s="1" t="s">
        <v>1</v>
      </c>
      <c r="E55" s="1">
        <f>0+C62+D62+E62 + E46</f>
        <v>0</v>
      </c>
      <c r="G55" s="1" t="s">
        <v>2</v>
      </c>
      <c r="I55" s="1">
        <f>0+G62+H62+I62 + I46</f>
        <v>0</v>
      </c>
      <c r="K55" s="1" t="s">
        <v>3</v>
      </c>
      <c r="M55" s="1">
        <f>0+K62+L62+M62 + M46</f>
        <v>0</v>
      </c>
    </row>
    <row r="56" spans="1:13">
      <c r="A56" t="s">
        <v>25</v>
      </c>
      <c r="C56" s="2" t="s">
        <v>5</v>
      </c>
      <c r="D56" s="2" t="s">
        <v>6</v>
      </c>
      <c r="E56" s="2" t="s">
        <v>7</v>
      </c>
      <c r="G56" s="2" t="s">
        <v>8</v>
      </c>
      <c r="H56" s="2" t="s">
        <v>9</v>
      </c>
      <c r="I56" s="2" t="s">
        <v>10</v>
      </c>
      <c r="K56" s="2" t="s">
        <v>11</v>
      </c>
      <c r="L56" s="2" t="s">
        <v>12</v>
      </c>
      <c r="M56" s="2" t="s">
        <v>13</v>
      </c>
    </row>
    <row r="57" spans="1:13">
      <c r="A57" t="s">
        <v>14</v>
      </c>
      <c r="C57" s="3">
        <v>9.9459999999999997</v>
      </c>
      <c r="D57" s="3">
        <v>9.2390000000000008</v>
      </c>
      <c r="E57" s="3">
        <v>1.2010000000000001</v>
      </c>
      <c r="G57" s="3">
        <v>11.359</v>
      </c>
      <c r="H57" s="3">
        <v>4.4870000000000001</v>
      </c>
      <c r="I57" s="3">
        <v>2.9260000000000002</v>
      </c>
      <c r="K57" s="3">
        <v>13.178000000000001</v>
      </c>
      <c r="L57" s="3">
        <v>2.101</v>
      </c>
      <c r="M57" s="3">
        <v>2.0659999999999998</v>
      </c>
    </row>
    <row r="58" spans="1:13">
      <c r="A58" t="s">
        <v>15</v>
      </c>
      <c r="C58" s="3">
        <v>0</v>
      </c>
      <c r="D58" s="3">
        <v>0</v>
      </c>
      <c r="E58" s="3">
        <v>0</v>
      </c>
      <c r="G58" s="3">
        <v>0</v>
      </c>
      <c r="H58" s="3">
        <v>0</v>
      </c>
      <c r="I58" s="3">
        <v>0</v>
      </c>
      <c r="K58" s="3">
        <v>0</v>
      </c>
      <c r="L58" s="3">
        <v>0</v>
      </c>
      <c r="M58" s="3">
        <v>0</v>
      </c>
    </row>
    <row r="59" spans="1:13">
      <c r="A59" t="s">
        <v>16</v>
      </c>
      <c r="C59" s="3">
        <f>C58/C57</f>
        <v>0</v>
      </c>
      <c r="D59" s="3">
        <f>D58/D57</f>
        <v>0</v>
      </c>
      <c r="E59" s="3">
        <f>E58/E57</f>
        <v>0</v>
      </c>
      <c r="G59" s="3">
        <f>G58/G57</f>
        <v>0</v>
      </c>
      <c r="H59" s="3">
        <f>H58/H57</f>
        <v>0</v>
      </c>
      <c r="I59" s="3">
        <f>I58/I57</f>
        <v>0</v>
      </c>
      <c r="K59" s="3">
        <f>K58/K57</f>
        <v>0</v>
      </c>
      <c r="L59" s="3">
        <f>L58/L57</f>
        <v>0</v>
      </c>
      <c r="M59" s="3">
        <f>M58/M57</f>
        <v>0</v>
      </c>
    </row>
    <row r="60" spans="1:13">
      <c r="A60" t="s">
        <v>17</v>
      </c>
      <c r="C60" s="3">
        <v>0</v>
      </c>
      <c r="D60" s="3">
        <v>0</v>
      </c>
      <c r="E60" s="3">
        <v>0</v>
      </c>
      <c r="G60" s="3">
        <v>0</v>
      </c>
      <c r="H60" s="3">
        <v>0</v>
      </c>
      <c r="I60" s="3">
        <v>0</v>
      </c>
      <c r="K60" s="3">
        <v>0</v>
      </c>
      <c r="L60" s="3">
        <v>0</v>
      </c>
      <c r="M60" s="3">
        <v>0</v>
      </c>
    </row>
    <row r="61" spans="1:13">
      <c r="A61" t="s">
        <v>18</v>
      </c>
      <c r="C61" s="3">
        <v>0</v>
      </c>
      <c r="D61" s="3">
        <v>0</v>
      </c>
      <c r="E61" s="3">
        <v>0</v>
      </c>
      <c r="G61" s="3">
        <v>0</v>
      </c>
      <c r="H61" s="3">
        <v>0</v>
      </c>
      <c r="I61" s="3">
        <v>0</v>
      </c>
      <c r="K61" s="3">
        <v>0</v>
      </c>
      <c r="L61" s="3">
        <v>0</v>
      </c>
      <c r="M61" s="3">
        <v>0</v>
      </c>
    </row>
    <row r="62" spans="1:13">
      <c r="A62" t="s">
        <v>19</v>
      </c>
      <c r="C62" s="3">
        <f>C58*C61*C60-C60</f>
        <v>0</v>
      </c>
      <c r="D62" s="3">
        <f>D58*D61*D60-D60</f>
        <v>0</v>
      </c>
      <c r="E62" s="3">
        <f>E58*E61*E60-E60</f>
        <v>0</v>
      </c>
      <c r="G62" s="3">
        <f>G58*G61*G60-G60</f>
        <v>0</v>
      </c>
      <c r="H62" s="3">
        <f>H58*H61*H60-H60</f>
        <v>0</v>
      </c>
      <c r="I62" s="3">
        <f>I58*I61*I60-I60</f>
        <v>0</v>
      </c>
      <c r="K62" s="3">
        <f>K58*K61*K60-K60</f>
        <v>0</v>
      </c>
      <c r="L62" s="3">
        <f>L58*L61*L60-L60</f>
        <v>0</v>
      </c>
      <c r="M62" s="3">
        <f>M58*M61*M60-M60</f>
        <v>0</v>
      </c>
    </row>
    <row r="64" spans="1:13">
      <c r="A64" s="1" t="s">
        <v>26</v>
      </c>
      <c r="C64" s="1" t="s">
        <v>1</v>
      </c>
      <c r="E64" s="1">
        <f>0+C71+D71+E71 + E55</f>
        <v>0</v>
      </c>
      <c r="G64" s="1" t="s">
        <v>2</v>
      </c>
      <c r="I64" s="1">
        <f>0+G71+H71+I71 + I55</f>
        <v>0</v>
      </c>
      <c r="K64" s="1" t="s">
        <v>3</v>
      </c>
      <c r="M64" s="1">
        <f>0+K71+L71+M71 + M55</f>
        <v>0</v>
      </c>
    </row>
    <row r="65" spans="1:13">
      <c r="A65" t="s">
        <v>27</v>
      </c>
      <c r="C65" s="2" t="s">
        <v>5</v>
      </c>
      <c r="D65" s="2" t="s">
        <v>6</v>
      </c>
      <c r="E65" s="2" t="s">
        <v>7</v>
      </c>
      <c r="G65" s="2" t="s">
        <v>8</v>
      </c>
      <c r="H65" s="2" t="s">
        <v>9</v>
      </c>
      <c r="I65" s="2" t="s">
        <v>10</v>
      </c>
      <c r="K65" s="2" t="s">
        <v>11</v>
      </c>
      <c r="L65" s="2" t="s">
        <v>12</v>
      </c>
      <c r="M65" s="2" t="s">
        <v>13</v>
      </c>
    </row>
    <row r="66" spans="1:13">
      <c r="A66" t="s">
        <v>14</v>
      </c>
      <c r="C66" s="3">
        <v>1.532</v>
      </c>
      <c r="D66" s="3">
        <v>9.6750000000000007</v>
      </c>
      <c r="E66" s="3">
        <v>5.4580000000000002</v>
      </c>
      <c r="G66" s="3">
        <v>1.1539999999999999</v>
      </c>
      <c r="H66" s="3">
        <v>9.1419999999999995</v>
      </c>
      <c r="I66" s="3">
        <v>7.1630000000000003</v>
      </c>
      <c r="K66" s="3">
        <v>2.2370000000000001</v>
      </c>
      <c r="L66" s="3">
        <v>3.2</v>
      </c>
      <c r="M66" s="3">
        <v>4.9109999999999996</v>
      </c>
    </row>
    <row r="67" spans="1:13">
      <c r="A67" t="s">
        <v>15</v>
      </c>
      <c r="C67" s="3">
        <v>0</v>
      </c>
      <c r="D67" s="3">
        <v>0</v>
      </c>
      <c r="E67" s="3">
        <v>0</v>
      </c>
      <c r="G67" s="3">
        <v>0</v>
      </c>
      <c r="H67" s="3">
        <v>0</v>
      </c>
      <c r="I67" s="3">
        <v>0</v>
      </c>
      <c r="K67" s="3">
        <v>0</v>
      </c>
      <c r="L67" s="3">
        <v>0</v>
      </c>
      <c r="M67" s="3">
        <v>0</v>
      </c>
    </row>
    <row r="68" spans="1:13">
      <c r="A68" t="s">
        <v>16</v>
      </c>
      <c r="C68" s="3">
        <f>C67/C66</f>
        <v>0</v>
      </c>
      <c r="D68" s="3">
        <f>D67/D66</f>
        <v>0</v>
      </c>
      <c r="E68" s="3">
        <f>E67/E66</f>
        <v>0</v>
      </c>
      <c r="G68" s="3">
        <f>G67/G66</f>
        <v>0</v>
      </c>
      <c r="H68" s="3">
        <f>H67/H66</f>
        <v>0</v>
      </c>
      <c r="I68" s="3">
        <f>I67/I66</f>
        <v>0</v>
      </c>
      <c r="K68" s="3">
        <f>K67/K66</f>
        <v>0</v>
      </c>
      <c r="L68" s="3">
        <f>L67/L66</f>
        <v>0</v>
      </c>
      <c r="M68" s="3">
        <f>M67/M66</f>
        <v>0</v>
      </c>
    </row>
    <row r="69" spans="1:13">
      <c r="A69" t="s">
        <v>17</v>
      </c>
      <c r="C69" s="3">
        <v>0</v>
      </c>
      <c r="D69" s="3">
        <v>0</v>
      </c>
      <c r="E69" s="3">
        <v>0</v>
      </c>
      <c r="G69" s="3">
        <v>0</v>
      </c>
      <c r="H69" s="3">
        <v>0</v>
      </c>
      <c r="I69" s="3">
        <v>0</v>
      </c>
      <c r="K69" s="3">
        <v>0</v>
      </c>
      <c r="L69" s="3">
        <v>0</v>
      </c>
      <c r="M69" s="3">
        <v>0</v>
      </c>
    </row>
    <row r="70" spans="1:13">
      <c r="A70" t="s">
        <v>18</v>
      </c>
      <c r="C70" s="3">
        <v>0</v>
      </c>
      <c r="D70" s="3">
        <v>0</v>
      </c>
      <c r="E70" s="3">
        <v>0</v>
      </c>
      <c r="G70" s="3">
        <v>0</v>
      </c>
      <c r="H70" s="3">
        <v>0</v>
      </c>
      <c r="I70" s="3">
        <v>0</v>
      </c>
      <c r="K70" s="3">
        <v>0</v>
      </c>
      <c r="L70" s="3">
        <v>0</v>
      </c>
      <c r="M70" s="3">
        <v>0</v>
      </c>
    </row>
    <row r="71" spans="1:13">
      <c r="A71" t="s">
        <v>19</v>
      </c>
      <c r="C71" s="3">
        <f>C67*C70*C69-C69</f>
        <v>0</v>
      </c>
      <c r="D71" s="3">
        <f>D67*D70*D69-D69</f>
        <v>0</v>
      </c>
      <c r="E71" s="3">
        <f>E67*E70*E69-E69</f>
        <v>0</v>
      </c>
      <c r="G71" s="3">
        <f>G67*G70*G69-G69</f>
        <v>0</v>
      </c>
      <c r="H71" s="3">
        <f>H67*H70*H69-H69</f>
        <v>0</v>
      </c>
      <c r="I71" s="3">
        <f>I67*I70*I69-I69</f>
        <v>0</v>
      </c>
      <c r="K71" s="3">
        <f>K67*K70*K69-K69</f>
        <v>0</v>
      </c>
      <c r="L71" s="3">
        <f>L67*L70*L69-L69</f>
        <v>0</v>
      </c>
      <c r="M71" s="3">
        <f>M67*M70*M69-M69</f>
        <v>0</v>
      </c>
    </row>
    <row r="73" spans="1:13">
      <c r="A73" s="1" t="s">
        <v>26</v>
      </c>
      <c r="C73" s="1" t="s">
        <v>1</v>
      </c>
      <c r="E73" s="1">
        <f>0+C80+D80+E80 + E64</f>
        <v>0</v>
      </c>
      <c r="G73" s="1" t="s">
        <v>2</v>
      </c>
      <c r="I73" s="1">
        <f>0+G80+H80+I80 + I64</f>
        <v>0</v>
      </c>
      <c r="K73" s="1" t="s">
        <v>3</v>
      </c>
      <c r="M73" s="1">
        <f>0+K80+L80+M80 + M64</f>
        <v>0</v>
      </c>
    </row>
    <row r="74" spans="1:13">
      <c r="A74" t="s">
        <v>28</v>
      </c>
      <c r="C74" s="2" t="s">
        <v>5</v>
      </c>
      <c r="D74" s="2" t="s">
        <v>6</v>
      </c>
      <c r="E74" s="2" t="s">
        <v>7</v>
      </c>
      <c r="G74" s="2" t="s">
        <v>8</v>
      </c>
      <c r="H74" s="2" t="s">
        <v>9</v>
      </c>
      <c r="I74" s="2" t="s">
        <v>10</v>
      </c>
      <c r="K74" s="2" t="s">
        <v>11</v>
      </c>
      <c r="L74" s="2" t="s">
        <v>12</v>
      </c>
      <c r="M74" s="2" t="s">
        <v>13</v>
      </c>
    </row>
    <row r="75" spans="1:13">
      <c r="A75" t="s">
        <v>14</v>
      </c>
      <c r="C75" s="3">
        <v>4.7389999999999999</v>
      </c>
      <c r="D75" s="3">
        <v>4.9210000000000003</v>
      </c>
      <c r="E75" s="3">
        <v>1.377</v>
      </c>
      <c r="G75" s="3">
        <v>53.441000000000003</v>
      </c>
      <c r="H75" s="3">
        <v>1.8260000000000001</v>
      </c>
      <c r="I75" s="3">
        <v>2.585</v>
      </c>
      <c r="K75" s="3">
        <v>8.4760000000000009</v>
      </c>
      <c r="L75" s="3">
        <v>10.132999999999999</v>
      </c>
      <c r="M75" s="3">
        <v>1.962</v>
      </c>
    </row>
    <row r="76" spans="1:13">
      <c r="A76" t="s">
        <v>15</v>
      </c>
      <c r="C76" s="3">
        <v>0</v>
      </c>
      <c r="D76" s="3">
        <v>0</v>
      </c>
      <c r="E76" s="3">
        <v>0</v>
      </c>
      <c r="G76" s="3">
        <v>0</v>
      </c>
      <c r="H76" s="3">
        <v>0</v>
      </c>
      <c r="I76" s="3">
        <v>0</v>
      </c>
      <c r="K76" s="3">
        <v>0</v>
      </c>
      <c r="L76" s="3">
        <v>0</v>
      </c>
      <c r="M76" s="3">
        <v>0</v>
      </c>
    </row>
    <row r="77" spans="1:13">
      <c r="A77" t="s">
        <v>16</v>
      </c>
      <c r="C77" s="3">
        <f>C76/C75</f>
        <v>0</v>
      </c>
      <c r="D77" s="3">
        <f>D76/D75</f>
        <v>0</v>
      </c>
      <c r="E77" s="3">
        <f>E76/E75</f>
        <v>0</v>
      </c>
      <c r="G77" s="3">
        <f>G76/G75</f>
        <v>0</v>
      </c>
      <c r="H77" s="3">
        <f>H76/H75</f>
        <v>0</v>
      </c>
      <c r="I77" s="3">
        <f>I76/I75</f>
        <v>0</v>
      </c>
      <c r="K77" s="3">
        <f>K76/K75</f>
        <v>0</v>
      </c>
      <c r="L77" s="3">
        <f>L76/L75</f>
        <v>0</v>
      </c>
      <c r="M77" s="3">
        <f>M76/M75</f>
        <v>0</v>
      </c>
    </row>
    <row r="78" spans="1:13">
      <c r="A78" t="s">
        <v>17</v>
      </c>
      <c r="C78" s="3">
        <v>0</v>
      </c>
      <c r="D78" s="3">
        <v>0</v>
      </c>
      <c r="E78" s="3">
        <v>0</v>
      </c>
      <c r="G78" s="3">
        <v>0</v>
      </c>
      <c r="H78" s="3">
        <v>0</v>
      </c>
      <c r="I78" s="3">
        <v>0</v>
      </c>
      <c r="K78" s="3">
        <v>0</v>
      </c>
      <c r="L78" s="3">
        <v>0</v>
      </c>
      <c r="M78" s="3">
        <v>0</v>
      </c>
    </row>
    <row r="79" spans="1:13">
      <c r="A79" t="s">
        <v>18</v>
      </c>
      <c r="C79" s="3">
        <v>0</v>
      </c>
      <c r="D79" s="3">
        <v>0</v>
      </c>
      <c r="E79" s="3">
        <v>0</v>
      </c>
      <c r="G79" s="3">
        <v>0</v>
      </c>
      <c r="H79" s="3">
        <v>0</v>
      </c>
      <c r="I79" s="3">
        <v>0</v>
      </c>
      <c r="K79" s="3">
        <v>0</v>
      </c>
      <c r="L79" s="3">
        <v>0</v>
      </c>
      <c r="M79" s="3">
        <v>0</v>
      </c>
    </row>
    <row r="80" spans="1:13">
      <c r="A80" t="s">
        <v>19</v>
      </c>
      <c r="C80" s="3">
        <f>C76*C79*C78-C78</f>
        <v>0</v>
      </c>
      <c r="D80" s="3">
        <f>D76*D79*D78-D78</f>
        <v>0</v>
      </c>
      <c r="E80" s="3">
        <f>E76*E79*E78-E78</f>
        <v>0</v>
      </c>
      <c r="G80" s="3">
        <f>G76*G79*G78-G78</f>
        <v>0</v>
      </c>
      <c r="H80" s="3">
        <f>H76*H79*H78-H78</f>
        <v>0</v>
      </c>
      <c r="I80" s="3">
        <f>I76*I79*I78-I78</f>
        <v>0</v>
      </c>
      <c r="K80" s="3">
        <f>K76*K79*K78-K78</f>
        <v>0</v>
      </c>
      <c r="L80" s="3">
        <f>L76*L79*L78-L78</f>
        <v>0</v>
      </c>
      <c r="M80" s="3">
        <f>M76*M79*M78-M78</f>
        <v>0</v>
      </c>
    </row>
    <row r="82" spans="1:13">
      <c r="A82" s="1" t="s">
        <v>26</v>
      </c>
      <c r="C82" s="1" t="s">
        <v>1</v>
      </c>
      <c r="E82" s="1">
        <f>0+C89+D89+E89 + E73</f>
        <v>0</v>
      </c>
      <c r="G82" s="1" t="s">
        <v>2</v>
      </c>
      <c r="I82" s="1">
        <f>0+G89+H89+I89 + I73</f>
        <v>0</v>
      </c>
      <c r="K82" s="1" t="s">
        <v>3</v>
      </c>
      <c r="M82" s="1">
        <f>0+K89+L89+M89 + M73</f>
        <v>0</v>
      </c>
    </row>
    <row r="83" spans="1:13">
      <c r="A83" t="s">
        <v>29</v>
      </c>
      <c r="C83" s="2" t="s">
        <v>5</v>
      </c>
      <c r="D83" s="2" t="s">
        <v>6</v>
      </c>
      <c r="E83" s="2" t="s">
        <v>7</v>
      </c>
      <c r="G83" s="2" t="s">
        <v>8</v>
      </c>
      <c r="H83" s="2" t="s">
        <v>9</v>
      </c>
      <c r="I83" s="2" t="s">
        <v>10</v>
      </c>
      <c r="K83" s="2" t="s">
        <v>11</v>
      </c>
      <c r="L83" s="2" t="s">
        <v>12</v>
      </c>
      <c r="M83" s="2" t="s">
        <v>13</v>
      </c>
    </row>
    <row r="84" spans="1:13">
      <c r="A84" t="s">
        <v>14</v>
      </c>
      <c r="C84" s="3">
        <v>2.8140000000000001</v>
      </c>
      <c r="D84" s="3">
        <v>4.4329999999999998</v>
      </c>
      <c r="E84" s="3">
        <v>2.3530000000000002</v>
      </c>
      <c r="G84" s="3">
        <v>3.746</v>
      </c>
      <c r="H84" s="3">
        <v>7.65</v>
      </c>
      <c r="I84" s="3">
        <v>3.8279999999999998</v>
      </c>
      <c r="K84" s="3">
        <v>3.4079999999999999</v>
      </c>
      <c r="L84" s="3">
        <v>5.2960000000000003</v>
      </c>
      <c r="M84" s="3">
        <v>4.601</v>
      </c>
    </row>
    <row r="85" spans="1:13">
      <c r="A85" t="s">
        <v>15</v>
      </c>
      <c r="C85" s="3">
        <v>0</v>
      </c>
      <c r="D85" s="3">
        <v>0</v>
      </c>
      <c r="E85" s="3">
        <v>0</v>
      </c>
      <c r="G85" s="3">
        <v>0</v>
      </c>
      <c r="H85" s="3">
        <v>0</v>
      </c>
      <c r="I85" s="3">
        <v>0</v>
      </c>
      <c r="K85" s="3">
        <v>0</v>
      </c>
      <c r="L85" s="3">
        <v>0</v>
      </c>
      <c r="M85" s="3">
        <v>0</v>
      </c>
    </row>
    <row r="86" spans="1:13">
      <c r="A86" t="s">
        <v>16</v>
      </c>
      <c r="C86" s="3">
        <f>C85/C84</f>
        <v>0</v>
      </c>
      <c r="D86" s="3">
        <f>D85/D84</f>
        <v>0</v>
      </c>
      <c r="E86" s="3">
        <f>E85/E84</f>
        <v>0</v>
      </c>
      <c r="G86" s="3">
        <f>G85/G84</f>
        <v>0</v>
      </c>
      <c r="H86" s="3">
        <f>H85/H84</f>
        <v>0</v>
      </c>
      <c r="I86" s="3">
        <f>I85/I84</f>
        <v>0</v>
      </c>
      <c r="K86" s="3">
        <f>K85/K84</f>
        <v>0</v>
      </c>
      <c r="L86" s="3">
        <f>L85/L84</f>
        <v>0</v>
      </c>
      <c r="M86" s="3">
        <f>M85/M84</f>
        <v>0</v>
      </c>
    </row>
    <row r="87" spans="1:13">
      <c r="A87" t="s">
        <v>17</v>
      </c>
      <c r="C87" s="3">
        <v>0</v>
      </c>
      <c r="D87" s="3">
        <v>0</v>
      </c>
      <c r="E87" s="3">
        <v>0</v>
      </c>
      <c r="G87" s="3">
        <v>0</v>
      </c>
      <c r="H87" s="3">
        <v>0</v>
      </c>
      <c r="I87" s="3">
        <v>0</v>
      </c>
      <c r="K87" s="3">
        <v>0</v>
      </c>
      <c r="L87" s="3">
        <v>0</v>
      </c>
      <c r="M87" s="3">
        <v>0</v>
      </c>
    </row>
    <row r="88" spans="1:13">
      <c r="A88" t="s">
        <v>18</v>
      </c>
      <c r="C88" s="3">
        <v>0</v>
      </c>
      <c r="D88" s="3">
        <v>0</v>
      </c>
      <c r="E88" s="3">
        <v>0</v>
      </c>
      <c r="G88" s="3">
        <v>0</v>
      </c>
      <c r="H88" s="3">
        <v>0</v>
      </c>
      <c r="I88" s="3">
        <v>0</v>
      </c>
      <c r="K88" s="3">
        <v>0</v>
      </c>
      <c r="L88" s="3">
        <v>0</v>
      </c>
      <c r="M88" s="3">
        <v>0</v>
      </c>
    </row>
    <row r="89" spans="1:13">
      <c r="A89" t="s">
        <v>19</v>
      </c>
      <c r="C89" s="3">
        <f>C85*C88*C87-C87</f>
        <v>0</v>
      </c>
      <c r="D89" s="3">
        <f>D85*D88*D87-D87</f>
        <v>0</v>
      </c>
      <c r="E89" s="3">
        <f>E85*E88*E87-E87</f>
        <v>0</v>
      </c>
      <c r="G89" s="3">
        <f>G85*G88*G87-G87</f>
        <v>0</v>
      </c>
      <c r="H89" s="3">
        <f>H85*H88*H87-H87</f>
        <v>0</v>
      </c>
      <c r="I89" s="3">
        <f>I85*I88*I87-I87</f>
        <v>0</v>
      </c>
      <c r="K89" s="3">
        <f>K85*K88*K87-K87</f>
        <v>0</v>
      </c>
      <c r="L89" s="3">
        <f>L85*L88*L87-L87</f>
        <v>0</v>
      </c>
      <c r="M89" s="3">
        <f>M85*M88*M87-M87</f>
        <v>0</v>
      </c>
    </row>
    <row r="91" spans="1:13">
      <c r="A91" s="1" t="s">
        <v>26</v>
      </c>
      <c r="C91" s="1" t="s">
        <v>1</v>
      </c>
      <c r="E91" s="1">
        <f>0+C98+D98+E98 + E82</f>
        <v>0</v>
      </c>
      <c r="G91" s="1" t="s">
        <v>2</v>
      </c>
      <c r="I91" s="1">
        <f>0+G98+H98+I98 + I82</f>
        <v>0</v>
      </c>
      <c r="K91" s="1" t="s">
        <v>3</v>
      </c>
      <c r="M91" s="1">
        <f>0+K98+L98+M98 + M82</f>
        <v>0</v>
      </c>
    </row>
    <row r="92" spans="1:13">
      <c r="A92" t="s">
        <v>30</v>
      </c>
      <c r="C92" s="2" t="s">
        <v>5</v>
      </c>
      <c r="D92" s="2" t="s">
        <v>6</v>
      </c>
      <c r="E92" s="2" t="s">
        <v>7</v>
      </c>
      <c r="G92" s="2" t="s">
        <v>8</v>
      </c>
      <c r="H92" s="2" t="s">
        <v>9</v>
      </c>
      <c r="I92" s="2" t="s">
        <v>10</v>
      </c>
      <c r="K92" s="2" t="s">
        <v>11</v>
      </c>
      <c r="L92" s="2" t="s">
        <v>12</v>
      </c>
      <c r="M92" s="2" t="s">
        <v>13</v>
      </c>
    </row>
    <row r="93" spans="1:13">
      <c r="A93" t="s">
        <v>14</v>
      </c>
      <c r="C93" s="3">
        <v>1.173</v>
      </c>
      <c r="D93" s="3">
        <v>7.7569999999999997</v>
      </c>
      <c r="E93" s="3">
        <v>14.317</v>
      </c>
      <c r="G93" s="3">
        <v>2.5409999999999999</v>
      </c>
      <c r="H93" s="3">
        <v>2.0920000000000001</v>
      </c>
      <c r="I93" s="3">
        <v>9.4930000000000003</v>
      </c>
      <c r="K93" s="3">
        <v>1.423</v>
      </c>
      <c r="L93" s="3">
        <v>5.2309999999999999</v>
      </c>
      <c r="M93" s="3">
        <v>9.17</v>
      </c>
    </row>
    <row r="94" spans="1:13">
      <c r="A94" t="s">
        <v>15</v>
      </c>
      <c r="C94" s="3">
        <v>0</v>
      </c>
      <c r="D94" s="3">
        <v>0</v>
      </c>
      <c r="E94" s="3">
        <v>0</v>
      </c>
      <c r="G94" s="3">
        <v>0</v>
      </c>
      <c r="H94" s="3">
        <v>0</v>
      </c>
      <c r="I94" s="3">
        <v>0</v>
      </c>
      <c r="K94" s="3">
        <v>0</v>
      </c>
      <c r="L94" s="3">
        <v>0</v>
      </c>
      <c r="M94" s="3">
        <v>0</v>
      </c>
    </row>
    <row r="95" spans="1:13">
      <c r="A95" t="s">
        <v>16</v>
      </c>
      <c r="C95" s="3">
        <f>C94/C93</f>
        <v>0</v>
      </c>
      <c r="D95" s="3">
        <f>D94/D93</f>
        <v>0</v>
      </c>
      <c r="E95" s="3">
        <f>E94/E93</f>
        <v>0</v>
      </c>
      <c r="G95" s="3">
        <f>G94/G93</f>
        <v>0</v>
      </c>
      <c r="H95" s="3">
        <f>H94/H93</f>
        <v>0</v>
      </c>
      <c r="I95" s="3">
        <f>I94/I93</f>
        <v>0</v>
      </c>
      <c r="K95" s="3">
        <f>K94/K93</f>
        <v>0</v>
      </c>
      <c r="L95" s="3">
        <f>L94/L93</f>
        <v>0</v>
      </c>
      <c r="M95" s="3">
        <f>M94/M93</f>
        <v>0</v>
      </c>
    </row>
    <row r="96" spans="1:13">
      <c r="A96" t="s">
        <v>17</v>
      </c>
      <c r="C96" s="3">
        <v>0</v>
      </c>
      <c r="D96" s="3">
        <v>0</v>
      </c>
      <c r="E96" s="3">
        <v>0</v>
      </c>
      <c r="G96" s="3">
        <v>0</v>
      </c>
      <c r="H96" s="3">
        <v>0</v>
      </c>
      <c r="I96" s="3">
        <v>0</v>
      </c>
      <c r="K96" s="3">
        <v>0</v>
      </c>
      <c r="L96" s="3">
        <v>0</v>
      </c>
      <c r="M96" s="3">
        <v>0</v>
      </c>
    </row>
    <row r="97" spans="1:13">
      <c r="A97" t="s">
        <v>18</v>
      </c>
      <c r="C97" s="3">
        <v>0</v>
      </c>
      <c r="D97" s="3">
        <v>0</v>
      </c>
      <c r="E97" s="3">
        <v>0</v>
      </c>
      <c r="G97" s="3">
        <v>0</v>
      </c>
      <c r="H97" s="3">
        <v>0</v>
      </c>
      <c r="I97" s="3">
        <v>0</v>
      </c>
      <c r="K97" s="3">
        <v>0</v>
      </c>
      <c r="L97" s="3">
        <v>0</v>
      </c>
      <c r="M97" s="3">
        <v>0</v>
      </c>
    </row>
    <row r="98" spans="1:13">
      <c r="A98" t="s">
        <v>19</v>
      </c>
      <c r="C98" s="3">
        <f>C94*C97*C96-C96</f>
        <v>0</v>
      </c>
      <c r="D98" s="3">
        <f>D94*D97*D96-D96</f>
        <v>0</v>
      </c>
      <c r="E98" s="3">
        <f>E94*E97*E96-E96</f>
        <v>0</v>
      </c>
      <c r="G98" s="3">
        <f>G94*G97*G96-G96</f>
        <v>0</v>
      </c>
      <c r="H98" s="3">
        <f>H94*H97*H96-H96</f>
        <v>0</v>
      </c>
      <c r="I98" s="3">
        <f>I94*I97*I96-I96</f>
        <v>0</v>
      </c>
      <c r="K98" s="3">
        <f>K94*K97*K96-K96</f>
        <v>0</v>
      </c>
      <c r="L98" s="3">
        <f>L94*L97*L96-L96</f>
        <v>0</v>
      </c>
      <c r="M98" s="3">
        <f>M94*M97*M96-M96</f>
        <v>0</v>
      </c>
    </row>
    <row r="100" spans="1:13">
      <c r="A100" s="1" t="s">
        <v>26</v>
      </c>
      <c r="C100" s="1" t="s">
        <v>1</v>
      </c>
      <c r="E100" s="1">
        <f>0+C107+D107+E107 + E91</f>
        <v>0</v>
      </c>
      <c r="G100" s="1" t="s">
        <v>2</v>
      </c>
      <c r="I100" s="1">
        <f>0+G107+H107+I107 + I91</f>
        <v>0</v>
      </c>
      <c r="K100" s="1" t="s">
        <v>3</v>
      </c>
      <c r="M100" s="1">
        <f>0+K107+L107+M107 + M91</f>
        <v>0</v>
      </c>
    </row>
    <row r="101" spans="1:13">
      <c r="A101" t="s">
        <v>31</v>
      </c>
      <c r="C101" s="2" t="s">
        <v>5</v>
      </c>
      <c r="D101" s="2" t="s">
        <v>6</v>
      </c>
      <c r="E101" s="2" t="s">
        <v>7</v>
      </c>
      <c r="G101" s="2" t="s">
        <v>8</v>
      </c>
      <c r="H101" s="2" t="s">
        <v>9</v>
      </c>
      <c r="I101" s="2" t="s">
        <v>10</v>
      </c>
      <c r="K101" s="2" t="s">
        <v>11</v>
      </c>
      <c r="L101" s="2" t="s">
        <v>12</v>
      </c>
      <c r="M101" s="2" t="s">
        <v>13</v>
      </c>
    </row>
    <row r="102" spans="1:13">
      <c r="A102" t="s">
        <v>14</v>
      </c>
      <c r="C102" s="3">
        <v>2.1120000000000001</v>
      </c>
      <c r="D102" s="3">
        <v>5.7149999999999999</v>
      </c>
      <c r="E102" s="3">
        <v>4.5469999999999997</v>
      </c>
      <c r="G102" s="3">
        <v>5.48</v>
      </c>
      <c r="H102" s="3">
        <v>2.0579999999999998</v>
      </c>
      <c r="I102" s="3">
        <v>1.4079999999999999</v>
      </c>
      <c r="K102" s="3">
        <v>2.6110000000000002</v>
      </c>
      <c r="L102" s="3">
        <v>3.5630000000000002</v>
      </c>
      <c r="M102" s="3">
        <v>11.722</v>
      </c>
    </row>
    <row r="103" spans="1:13">
      <c r="A103" t="s">
        <v>15</v>
      </c>
      <c r="C103" s="3">
        <v>0</v>
      </c>
      <c r="D103" s="3">
        <v>0</v>
      </c>
      <c r="E103" s="3">
        <v>0</v>
      </c>
      <c r="G103" s="3">
        <v>0</v>
      </c>
      <c r="H103" s="3">
        <v>0</v>
      </c>
      <c r="I103" s="3">
        <v>0</v>
      </c>
      <c r="K103" s="3">
        <v>0</v>
      </c>
      <c r="L103" s="3">
        <v>0</v>
      </c>
      <c r="M103" s="3">
        <v>0</v>
      </c>
    </row>
    <row r="104" spans="1:13">
      <c r="A104" t="s">
        <v>16</v>
      </c>
      <c r="C104" s="3">
        <f>C103/C102</f>
        <v>0</v>
      </c>
      <c r="D104" s="3">
        <f>D103/D102</f>
        <v>0</v>
      </c>
      <c r="E104" s="3">
        <f>E103/E102</f>
        <v>0</v>
      </c>
      <c r="G104" s="3">
        <f>G103/G102</f>
        <v>0</v>
      </c>
      <c r="H104" s="3">
        <f>H103/H102</f>
        <v>0</v>
      </c>
      <c r="I104" s="3">
        <f>I103/I102</f>
        <v>0</v>
      </c>
      <c r="K104" s="3">
        <f>K103/K102</f>
        <v>0</v>
      </c>
      <c r="L104" s="3">
        <f>L103/L102</f>
        <v>0</v>
      </c>
      <c r="M104" s="3">
        <f>M103/M102</f>
        <v>0</v>
      </c>
    </row>
    <row r="105" spans="1:13">
      <c r="A105" t="s">
        <v>17</v>
      </c>
      <c r="C105" s="3">
        <v>0</v>
      </c>
      <c r="D105" s="3">
        <v>0</v>
      </c>
      <c r="E105" s="3">
        <v>0</v>
      </c>
      <c r="G105" s="3">
        <v>0</v>
      </c>
      <c r="H105" s="3">
        <v>0</v>
      </c>
      <c r="I105" s="3">
        <v>0</v>
      </c>
      <c r="K105" s="3">
        <v>0</v>
      </c>
      <c r="L105" s="3">
        <v>0</v>
      </c>
      <c r="M105" s="3">
        <v>0</v>
      </c>
    </row>
    <row r="106" spans="1:13">
      <c r="A106" t="s">
        <v>18</v>
      </c>
      <c r="C106" s="3">
        <v>0</v>
      </c>
      <c r="D106" s="3">
        <v>0</v>
      </c>
      <c r="E106" s="3">
        <v>0</v>
      </c>
      <c r="G106" s="3">
        <v>0</v>
      </c>
      <c r="H106" s="3">
        <v>0</v>
      </c>
      <c r="I106" s="3">
        <v>0</v>
      </c>
      <c r="K106" s="3">
        <v>0</v>
      </c>
      <c r="L106" s="3">
        <v>0</v>
      </c>
      <c r="M106" s="3">
        <v>0</v>
      </c>
    </row>
    <row r="107" spans="1:13">
      <c r="A107" t="s">
        <v>19</v>
      </c>
      <c r="C107" s="3">
        <f>C103*C106*C105-C105</f>
        <v>0</v>
      </c>
      <c r="D107" s="3">
        <f>D103*D106*D105-D105</f>
        <v>0</v>
      </c>
      <c r="E107" s="3">
        <f>E103*E106*E105-E105</f>
        <v>0</v>
      </c>
      <c r="G107" s="3">
        <f>G103*G106*G105-G105</f>
        <v>0</v>
      </c>
      <c r="H107" s="3">
        <f>H103*H106*H105-H105</f>
        <v>0</v>
      </c>
      <c r="I107" s="3">
        <f>I103*I106*I105-I105</f>
        <v>0</v>
      </c>
      <c r="K107" s="3">
        <f>K103*K106*K105-K105</f>
        <v>0</v>
      </c>
      <c r="L107" s="3">
        <f>L103*L106*L105-L105</f>
        <v>0</v>
      </c>
      <c r="M107" s="3">
        <f>M103*M106*M105-M105</f>
        <v>0</v>
      </c>
    </row>
    <row r="109" spans="1:13">
      <c r="A109" s="1" t="s">
        <v>26</v>
      </c>
      <c r="C109" s="1" t="s">
        <v>1</v>
      </c>
      <c r="E109" s="1">
        <f>0+C116+D116+E116 + E100</f>
        <v>0</v>
      </c>
      <c r="G109" s="1" t="s">
        <v>2</v>
      </c>
      <c r="I109" s="1">
        <f>0+G116+H116+I116 + I100</f>
        <v>0</v>
      </c>
      <c r="K109" s="1" t="s">
        <v>3</v>
      </c>
      <c r="M109" s="1">
        <f>0+K116+L116+M116 + M100</f>
        <v>0</v>
      </c>
    </row>
    <row r="110" spans="1:13">
      <c r="A110" t="s">
        <v>32</v>
      </c>
      <c r="C110" s="2" t="s">
        <v>5</v>
      </c>
      <c r="D110" s="2" t="s">
        <v>6</v>
      </c>
      <c r="E110" s="2" t="s">
        <v>7</v>
      </c>
      <c r="G110" s="2" t="s">
        <v>8</v>
      </c>
      <c r="H110" s="2" t="s">
        <v>9</v>
      </c>
      <c r="I110" s="2" t="s">
        <v>10</v>
      </c>
      <c r="K110" s="2" t="s">
        <v>11</v>
      </c>
      <c r="L110" s="2" t="s">
        <v>12</v>
      </c>
      <c r="M110" s="2" t="s">
        <v>13</v>
      </c>
    </row>
    <row r="111" spans="1:13">
      <c r="A111" t="s">
        <v>14</v>
      </c>
      <c r="C111" s="3">
        <v>1.706</v>
      </c>
      <c r="D111" s="3">
        <v>4.0129999999999999</v>
      </c>
      <c r="E111" s="3">
        <v>14.707000000000001</v>
      </c>
      <c r="G111" s="3">
        <v>1.917</v>
      </c>
      <c r="H111" s="3">
        <v>2.992</v>
      </c>
      <c r="I111" s="3">
        <v>17.686</v>
      </c>
      <c r="K111" s="3">
        <v>3.3260000000000001</v>
      </c>
      <c r="L111" s="3">
        <v>6.2629999999999999</v>
      </c>
      <c r="M111" s="3">
        <v>2.6619999999999999</v>
      </c>
    </row>
    <row r="112" spans="1:13">
      <c r="A112" t="s">
        <v>15</v>
      </c>
      <c r="C112" s="3">
        <v>0</v>
      </c>
      <c r="D112" s="3">
        <v>0</v>
      </c>
      <c r="E112" s="3">
        <v>0</v>
      </c>
      <c r="G112" s="3">
        <v>0</v>
      </c>
      <c r="H112" s="3">
        <v>0</v>
      </c>
      <c r="I112" s="3">
        <v>0</v>
      </c>
      <c r="K112" s="3">
        <v>0</v>
      </c>
      <c r="L112" s="3">
        <v>0</v>
      </c>
      <c r="M112" s="3">
        <v>0</v>
      </c>
    </row>
    <row r="113" spans="1:13">
      <c r="A113" t="s">
        <v>16</v>
      </c>
      <c r="C113" s="3">
        <f>C112/C111</f>
        <v>0</v>
      </c>
      <c r="D113" s="3">
        <f>D112/D111</f>
        <v>0</v>
      </c>
      <c r="E113" s="3">
        <f>E112/E111</f>
        <v>0</v>
      </c>
      <c r="G113" s="3">
        <f>G112/G111</f>
        <v>0</v>
      </c>
      <c r="H113" s="3">
        <f>H112/H111</f>
        <v>0</v>
      </c>
      <c r="I113" s="3">
        <f>I112/I111</f>
        <v>0</v>
      </c>
      <c r="K113" s="3">
        <f>K112/K111</f>
        <v>0</v>
      </c>
      <c r="L113" s="3">
        <f>L112/L111</f>
        <v>0</v>
      </c>
      <c r="M113" s="3">
        <f>M112/M111</f>
        <v>0</v>
      </c>
    </row>
    <row r="114" spans="1:13">
      <c r="A114" t="s">
        <v>17</v>
      </c>
      <c r="C114" s="3">
        <v>0</v>
      </c>
      <c r="D114" s="3">
        <v>0</v>
      </c>
      <c r="E114" s="3">
        <v>0</v>
      </c>
      <c r="G114" s="3">
        <v>0</v>
      </c>
      <c r="H114" s="3">
        <v>0</v>
      </c>
      <c r="I114" s="3">
        <v>0</v>
      </c>
      <c r="K114" s="3">
        <v>0</v>
      </c>
      <c r="L114" s="3">
        <v>0</v>
      </c>
      <c r="M114" s="3">
        <v>0</v>
      </c>
    </row>
    <row r="115" spans="1:13">
      <c r="A115" t="s">
        <v>18</v>
      </c>
      <c r="C115" s="3">
        <v>0</v>
      </c>
      <c r="D115" s="3">
        <v>0</v>
      </c>
      <c r="E115" s="3">
        <v>0</v>
      </c>
      <c r="G115" s="3">
        <v>0</v>
      </c>
      <c r="H115" s="3">
        <v>0</v>
      </c>
      <c r="I115" s="3">
        <v>0</v>
      </c>
      <c r="K115" s="3">
        <v>0</v>
      </c>
      <c r="L115" s="3">
        <v>0</v>
      </c>
      <c r="M115" s="3">
        <v>0</v>
      </c>
    </row>
    <row r="116" spans="1:13">
      <c r="A116" t="s">
        <v>19</v>
      </c>
      <c r="C116" s="3">
        <f>C112*C115*C114-C114</f>
        <v>0</v>
      </c>
      <c r="D116" s="3">
        <f>D112*D115*D114-D114</f>
        <v>0</v>
      </c>
      <c r="E116" s="3">
        <f>E112*E115*E114-E114</f>
        <v>0</v>
      </c>
      <c r="G116" s="3">
        <f>G112*G115*G114-G114</f>
        <v>0</v>
      </c>
      <c r="H116" s="3">
        <f>H112*H115*H114-H114</f>
        <v>0</v>
      </c>
      <c r="I116" s="3">
        <f>I112*I115*I114-I114</f>
        <v>0</v>
      </c>
      <c r="K116" s="3">
        <f>K112*K115*K114-K114</f>
        <v>0</v>
      </c>
      <c r="L116" s="3">
        <f>L112*L115*L114-L114</f>
        <v>0</v>
      </c>
      <c r="M116" s="3">
        <f>M112*M115*M114-M114</f>
        <v>0</v>
      </c>
    </row>
    <row r="118" spans="1:13">
      <c r="A118" s="1" t="s">
        <v>33</v>
      </c>
      <c r="C118" s="1" t="s">
        <v>1</v>
      </c>
      <c r="E118" s="1">
        <f>0+C125+D125+E125 + E109</f>
        <v>0</v>
      </c>
      <c r="G118" s="1" t="s">
        <v>2</v>
      </c>
      <c r="I118" s="1">
        <f>0+G125+H125+I125 + I109</f>
        <v>0</v>
      </c>
      <c r="K118" s="1" t="s">
        <v>3</v>
      </c>
      <c r="M118" s="1">
        <f>0+K125+L125+M125 + M109</f>
        <v>0</v>
      </c>
    </row>
    <row r="119" spans="1:13">
      <c r="A119" t="s">
        <v>34</v>
      </c>
      <c r="C119" s="2" t="s">
        <v>5</v>
      </c>
      <c r="D119" s="2" t="s">
        <v>6</v>
      </c>
      <c r="E119" s="2" t="s">
        <v>7</v>
      </c>
      <c r="G119" s="2" t="s">
        <v>8</v>
      </c>
      <c r="H119" s="2" t="s">
        <v>9</v>
      </c>
      <c r="I119" s="2" t="s">
        <v>10</v>
      </c>
      <c r="K119" s="2" t="s">
        <v>11</v>
      </c>
      <c r="L119" s="2" t="s">
        <v>12</v>
      </c>
      <c r="M119" s="2" t="s">
        <v>13</v>
      </c>
    </row>
    <row r="120" spans="1:13">
      <c r="A120" t="s">
        <v>14</v>
      </c>
      <c r="C120" s="3">
        <v>16.059999999999999</v>
      </c>
      <c r="D120" s="3">
        <v>15.377000000000001</v>
      </c>
      <c r="E120" s="3">
        <v>1.956</v>
      </c>
      <c r="G120" s="3">
        <v>2.7639999999999998</v>
      </c>
      <c r="H120" s="3">
        <v>9.077</v>
      </c>
      <c r="I120" s="3">
        <v>5.1520000000000001</v>
      </c>
      <c r="K120" s="3">
        <v>10.760999999999999</v>
      </c>
      <c r="L120" s="3">
        <v>26.414999999999999</v>
      </c>
      <c r="M120" s="3">
        <v>6.1890000000000001</v>
      </c>
    </row>
    <row r="121" spans="1:13">
      <c r="A121" t="s">
        <v>15</v>
      </c>
      <c r="C121" s="3">
        <v>0</v>
      </c>
      <c r="D121" s="3">
        <v>0</v>
      </c>
      <c r="E121" s="3">
        <v>0</v>
      </c>
      <c r="G121" s="3">
        <v>0</v>
      </c>
      <c r="H121" s="3">
        <v>0</v>
      </c>
      <c r="I121" s="3">
        <v>0</v>
      </c>
      <c r="K121" s="3">
        <v>0</v>
      </c>
      <c r="L121" s="3">
        <v>0</v>
      </c>
      <c r="M121" s="3">
        <v>0</v>
      </c>
    </row>
    <row r="122" spans="1:13">
      <c r="A122" t="s">
        <v>16</v>
      </c>
      <c r="C122" s="3">
        <f>C121/C120</f>
        <v>0</v>
      </c>
      <c r="D122" s="3">
        <f>D121/D120</f>
        <v>0</v>
      </c>
      <c r="E122" s="3">
        <f>E121/E120</f>
        <v>0</v>
      </c>
      <c r="G122" s="3">
        <f>G121/G120</f>
        <v>0</v>
      </c>
      <c r="H122" s="3">
        <f>H121/H120</f>
        <v>0</v>
      </c>
      <c r="I122" s="3">
        <f>I121/I120</f>
        <v>0</v>
      </c>
      <c r="K122" s="3">
        <f>K121/K120</f>
        <v>0</v>
      </c>
      <c r="L122" s="3">
        <f>L121/L120</f>
        <v>0</v>
      </c>
      <c r="M122" s="3">
        <f>M121/M120</f>
        <v>0</v>
      </c>
    </row>
    <row r="123" spans="1:13">
      <c r="A123" t="s">
        <v>17</v>
      </c>
      <c r="C123" s="3">
        <v>0</v>
      </c>
      <c r="D123" s="3">
        <v>0</v>
      </c>
      <c r="E123" s="3">
        <v>0</v>
      </c>
      <c r="G123" s="3">
        <v>0</v>
      </c>
      <c r="H123" s="3">
        <v>0</v>
      </c>
      <c r="I123" s="3">
        <v>0</v>
      </c>
      <c r="K123" s="3">
        <v>0</v>
      </c>
      <c r="L123" s="3">
        <v>0</v>
      </c>
      <c r="M123" s="3">
        <v>0</v>
      </c>
    </row>
    <row r="124" spans="1:13">
      <c r="A124" t="s">
        <v>18</v>
      </c>
      <c r="C124" s="3">
        <v>0</v>
      </c>
      <c r="D124" s="3">
        <v>0</v>
      </c>
      <c r="E124" s="3">
        <v>0</v>
      </c>
      <c r="G124" s="3">
        <v>0</v>
      </c>
      <c r="H124" s="3">
        <v>0</v>
      </c>
      <c r="I124" s="3">
        <v>0</v>
      </c>
      <c r="K124" s="3">
        <v>0</v>
      </c>
      <c r="L124" s="3">
        <v>0</v>
      </c>
      <c r="M124" s="3">
        <v>0</v>
      </c>
    </row>
    <row r="125" spans="1:13">
      <c r="A125" t="s">
        <v>19</v>
      </c>
      <c r="C125" s="3">
        <f>C121*C124*C123-C123</f>
        <v>0</v>
      </c>
      <c r="D125" s="3">
        <f>D121*D124*D123-D123</f>
        <v>0</v>
      </c>
      <c r="E125" s="3">
        <f>E121*E124*E123-E123</f>
        <v>0</v>
      </c>
      <c r="G125" s="3">
        <f>G121*G124*G123-G123</f>
        <v>0</v>
      </c>
      <c r="H125" s="3">
        <f>H121*H124*H123-H123</f>
        <v>0</v>
      </c>
      <c r="I125" s="3">
        <f>I121*I124*I123-I123</f>
        <v>0</v>
      </c>
      <c r="K125" s="3">
        <f>K121*K124*K123-K123</f>
        <v>0</v>
      </c>
      <c r="L125" s="3">
        <f>L121*L124*L123-L123</f>
        <v>0</v>
      </c>
      <c r="M125" s="3">
        <f>M121*M124*M123-M123</f>
        <v>0</v>
      </c>
    </row>
    <row r="127" spans="1:13">
      <c r="A127" s="1" t="s">
        <v>33</v>
      </c>
      <c r="C127" s="1" t="s">
        <v>1</v>
      </c>
      <c r="E127" s="1">
        <f>0+C134+D134+E134 + E118</f>
        <v>0</v>
      </c>
      <c r="G127" s="1" t="s">
        <v>2</v>
      </c>
      <c r="I127" s="1">
        <f>0+G134+H134+I134 + I118</f>
        <v>0</v>
      </c>
      <c r="K127" s="1" t="s">
        <v>3</v>
      </c>
      <c r="M127" s="1">
        <f>0+K134+L134+M134 + M118</f>
        <v>0</v>
      </c>
    </row>
    <row r="128" spans="1:13">
      <c r="A128" t="s">
        <v>35</v>
      </c>
      <c r="C128" s="2" t="s">
        <v>5</v>
      </c>
      <c r="D128" s="2" t="s">
        <v>6</v>
      </c>
      <c r="E128" s="2" t="s">
        <v>7</v>
      </c>
      <c r="G128" s="2" t="s">
        <v>8</v>
      </c>
      <c r="H128" s="2" t="s">
        <v>9</v>
      </c>
      <c r="I128" s="2" t="s">
        <v>10</v>
      </c>
      <c r="K128" s="2" t="s">
        <v>11</v>
      </c>
      <c r="L128" s="2" t="s">
        <v>12</v>
      </c>
      <c r="M128" s="2" t="s">
        <v>13</v>
      </c>
    </row>
    <row r="129" spans="1:13">
      <c r="A129" t="s">
        <v>14</v>
      </c>
      <c r="C129" s="3">
        <v>1.218</v>
      </c>
      <c r="D129" s="3">
        <v>1.1419999999999999</v>
      </c>
      <c r="E129" s="3">
        <v>14.121</v>
      </c>
      <c r="G129" s="3">
        <v>4.3239999999999998</v>
      </c>
      <c r="H129" s="3">
        <v>2.37</v>
      </c>
      <c r="I129" s="3">
        <v>4.3890000000000002</v>
      </c>
      <c r="K129" s="3">
        <v>1.0780000000000001</v>
      </c>
      <c r="L129" s="3">
        <v>4.5439999999999996</v>
      </c>
      <c r="M129" s="3">
        <v>11.41</v>
      </c>
    </row>
    <row r="130" spans="1:13">
      <c r="A130" t="s">
        <v>15</v>
      </c>
      <c r="C130" s="3">
        <v>0</v>
      </c>
      <c r="D130" s="3">
        <v>0</v>
      </c>
      <c r="E130" s="3">
        <v>0</v>
      </c>
      <c r="G130" s="3">
        <v>0</v>
      </c>
      <c r="H130" s="3">
        <v>0</v>
      </c>
      <c r="I130" s="3">
        <v>0</v>
      </c>
      <c r="K130" s="3">
        <v>0</v>
      </c>
      <c r="L130" s="3">
        <v>0</v>
      </c>
      <c r="M130" s="3">
        <v>0</v>
      </c>
    </row>
    <row r="131" spans="1:13">
      <c r="A131" t="s">
        <v>16</v>
      </c>
      <c r="C131" s="3">
        <f>C130/C129</f>
        <v>0</v>
      </c>
      <c r="D131" s="3">
        <f>D130/D129</f>
        <v>0</v>
      </c>
      <c r="E131" s="3">
        <f>E130/E129</f>
        <v>0</v>
      </c>
      <c r="G131" s="3">
        <f>G130/G129</f>
        <v>0</v>
      </c>
      <c r="H131" s="3">
        <f>H130/H129</f>
        <v>0</v>
      </c>
      <c r="I131" s="3">
        <f>I130/I129</f>
        <v>0</v>
      </c>
      <c r="K131" s="3">
        <f>K130/K129</f>
        <v>0</v>
      </c>
      <c r="L131" s="3">
        <f>L130/L129</f>
        <v>0</v>
      </c>
      <c r="M131" s="3">
        <f>M130/M129</f>
        <v>0</v>
      </c>
    </row>
    <row r="132" spans="1:13">
      <c r="A132" t="s">
        <v>17</v>
      </c>
      <c r="C132" s="3">
        <v>0</v>
      </c>
      <c r="D132" s="3">
        <v>0</v>
      </c>
      <c r="E132" s="3">
        <v>0</v>
      </c>
      <c r="G132" s="3">
        <v>0</v>
      </c>
      <c r="H132" s="3">
        <v>0</v>
      </c>
      <c r="I132" s="3">
        <v>0</v>
      </c>
      <c r="K132" s="3">
        <v>0</v>
      </c>
      <c r="L132" s="3">
        <v>0</v>
      </c>
      <c r="M132" s="3">
        <v>0</v>
      </c>
    </row>
    <row r="133" spans="1:13">
      <c r="A133" t="s">
        <v>18</v>
      </c>
      <c r="C133" s="3">
        <v>0</v>
      </c>
      <c r="D133" s="3">
        <v>0</v>
      </c>
      <c r="E133" s="3">
        <v>0</v>
      </c>
      <c r="G133" s="3">
        <v>0</v>
      </c>
      <c r="H133" s="3">
        <v>0</v>
      </c>
      <c r="I133" s="3">
        <v>0</v>
      </c>
      <c r="K133" s="3">
        <v>0</v>
      </c>
      <c r="L133" s="3">
        <v>0</v>
      </c>
      <c r="M133" s="3">
        <v>0</v>
      </c>
    </row>
    <row r="134" spans="1:13">
      <c r="A134" t="s">
        <v>19</v>
      </c>
      <c r="C134" s="3">
        <f>C130*C133*C132-C132</f>
        <v>0</v>
      </c>
      <c r="D134" s="3">
        <f>D130*D133*D132-D132</f>
        <v>0</v>
      </c>
      <c r="E134" s="3">
        <f>E130*E133*E132-E132</f>
        <v>0</v>
      </c>
      <c r="G134" s="3">
        <f>G130*G133*G132-G132</f>
        <v>0</v>
      </c>
      <c r="H134" s="3">
        <f>H130*H133*H132-H132</f>
        <v>0</v>
      </c>
      <c r="I134" s="3">
        <f>I130*I133*I132-I132</f>
        <v>0</v>
      </c>
      <c r="K134" s="3">
        <f>K130*K133*K132-K132</f>
        <v>0</v>
      </c>
      <c r="L134" s="3">
        <f>L130*L133*L132-L132</f>
        <v>0</v>
      </c>
      <c r="M134" s="3">
        <f>M130*M133*M132-M132</f>
        <v>0</v>
      </c>
    </row>
    <row r="136" spans="1:13">
      <c r="A136" s="1" t="s">
        <v>33</v>
      </c>
      <c r="C136" s="1" t="s">
        <v>1</v>
      </c>
      <c r="E136" s="1">
        <f>0+C143+D143+E143 + E127</f>
        <v>0</v>
      </c>
      <c r="G136" s="1" t="s">
        <v>2</v>
      </c>
      <c r="I136" s="1">
        <f>0+G143+H143+I143 + I127</f>
        <v>0</v>
      </c>
      <c r="K136" s="1" t="s">
        <v>3</v>
      </c>
      <c r="M136" s="1">
        <f>0+K143+L143+M143 + M127</f>
        <v>0</v>
      </c>
    </row>
    <row r="137" spans="1:13">
      <c r="A137" t="s">
        <v>36</v>
      </c>
      <c r="C137" s="2" t="s">
        <v>5</v>
      </c>
      <c r="D137" s="2" t="s">
        <v>6</v>
      </c>
      <c r="E137" s="2" t="s">
        <v>7</v>
      </c>
      <c r="G137" s="2" t="s">
        <v>8</v>
      </c>
      <c r="H137" s="2" t="s">
        <v>9</v>
      </c>
      <c r="I137" s="2" t="s">
        <v>10</v>
      </c>
      <c r="K137" s="2" t="s">
        <v>11</v>
      </c>
      <c r="L137" s="2" t="s">
        <v>12</v>
      </c>
      <c r="M137" s="2" t="s">
        <v>13</v>
      </c>
    </row>
    <row r="138" spans="1:13">
      <c r="A138" t="s">
        <v>14</v>
      </c>
      <c r="C138" s="3">
        <v>4.8529999999999998</v>
      </c>
      <c r="D138" s="3">
        <v>9.3030000000000008</v>
      </c>
      <c r="E138" s="3">
        <v>2.0920000000000001</v>
      </c>
      <c r="G138" s="3">
        <v>6.8360000000000003</v>
      </c>
      <c r="H138" s="3">
        <v>3.524</v>
      </c>
      <c r="I138" s="3">
        <v>6.9829999999999997</v>
      </c>
      <c r="K138" s="3">
        <v>5.7720000000000002</v>
      </c>
      <c r="L138" s="3">
        <v>9.1479999999999997</v>
      </c>
      <c r="M138" s="3">
        <v>3.5459999999999998</v>
      </c>
    </row>
    <row r="139" spans="1:13">
      <c r="A139" t="s">
        <v>15</v>
      </c>
      <c r="C139" s="3">
        <v>0</v>
      </c>
      <c r="D139" s="3">
        <v>0</v>
      </c>
      <c r="E139" s="3">
        <v>0</v>
      </c>
      <c r="G139" s="3">
        <v>0</v>
      </c>
      <c r="H139" s="3">
        <v>0</v>
      </c>
      <c r="I139" s="3">
        <v>0</v>
      </c>
      <c r="K139" s="3">
        <v>0</v>
      </c>
      <c r="L139" s="3">
        <v>0</v>
      </c>
      <c r="M139" s="3">
        <v>0</v>
      </c>
    </row>
    <row r="140" spans="1:13">
      <c r="A140" t="s">
        <v>16</v>
      </c>
      <c r="C140" s="3">
        <f>C139/C138</f>
        <v>0</v>
      </c>
      <c r="D140" s="3">
        <f>D139/D138</f>
        <v>0</v>
      </c>
      <c r="E140" s="3">
        <f>E139/E138</f>
        <v>0</v>
      </c>
      <c r="G140" s="3">
        <f>G139/G138</f>
        <v>0</v>
      </c>
      <c r="H140" s="3">
        <f>H139/H138</f>
        <v>0</v>
      </c>
      <c r="I140" s="3">
        <f>I139/I138</f>
        <v>0</v>
      </c>
      <c r="K140" s="3">
        <f>K139/K138</f>
        <v>0</v>
      </c>
      <c r="L140" s="3">
        <f>L139/L138</f>
        <v>0</v>
      </c>
      <c r="M140" s="3">
        <f>M139/M138</f>
        <v>0</v>
      </c>
    </row>
    <row r="141" spans="1:13">
      <c r="A141" t="s">
        <v>17</v>
      </c>
      <c r="C141" s="3">
        <v>0</v>
      </c>
      <c r="D141" s="3">
        <v>0</v>
      </c>
      <c r="E141" s="3">
        <v>0</v>
      </c>
      <c r="G141" s="3">
        <v>0</v>
      </c>
      <c r="H141" s="3">
        <v>0</v>
      </c>
      <c r="I141" s="3">
        <v>0</v>
      </c>
      <c r="K141" s="3">
        <v>0</v>
      </c>
      <c r="L141" s="3">
        <v>0</v>
      </c>
      <c r="M141" s="3">
        <v>0</v>
      </c>
    </row>
    <row r="142" spans="1:13">
      <c r="A142" t="s">
        <v>18</v>
      </c>
      <c r="C142" s="3">
        <v>0</v>
      </c>
      <c r="D142" s="3">
        <v>0</v>
      </c>
      <c r="E142" s="3">
        <v>0</v>
      </c>
      <c r="G142" s="3">
        <v>0</v>
      </c>
      <c r="H142" s="3">
        <v>0</v>
      </c>
      <c r="I142" s="3">
        <v>0</v>
      </c>
      <c r="K142" s="3">
        <v>0</v>
      </c>
      <c r="L142" s="3">
        <v>0</v>
      </c>
      <c r="M142" s="3">
        <v>0</v>
      </c>
    </row>
    <row r="143" spans="1:13">
      <c r="A143" t="s">
        <v>19</v>
      </c>
      <c r="C143" s="3">
        <f>C139*C142*C141-C141</f>
        <v>0</v>
      </c>
      <c r="D143" s="3">
        <f>D139*D142*D141-D141</f>
        <v>0</v>
      </c>
      <c r="E143" s="3">
        <f>E139*E142*E141-E141</f>
        <v>0</v>
      </c>
      <c r="G143" s="3">
        <f>G139*G142*G141-G141</f>
        <v>0</v>
      </c>
      <c r="H143" s="3">
        <f>H139*H142*H141-H141</f>
        <v>0</v>
      </c>
      <c r="I143" s="3">
        <f>I139*I142*I141-I141</f>
        <v>0</v>
      </c>
      <c r="K143" s="3">
        <f>K139*K142*K141-K141</f>
        <v>0</v>
      </c>
      <c r="L143" s="3">
        <f>L139*L142*L141-L141</f>
        <v>0</v>
      </c>
      <c r="M143" s="3">
        <f>M139*M142*M141-M141</f>
        <v>0</v>
      </c>
    </row>
    <row r="145" spans="1:13">
      <c r="A145" s="1" t="s">
        <v>33</v>
      </c>
      <c r="C145" s="1" t="s">
        <v>1</v>
      </c>
      <c r="E145" s="1">
        <f>0+C152+D152+E152 + E136</f>
        <v>0</v>
      </c>
      <c r="G145" s="1" t="s">
        <v>2</v>
      </c>
      <c r="I145" s="1">
        <f>0+G152+H152+I152 + I136</f>
        <v>0</v>
      </c>
      <c r="K145" s="1" t="s">
        <v>3</v>
      </c>
      <c r="M145" s="1">
        <f>0+K152+L152+M152 + M136</f>
        <v>0</v>
      </c>
    </row>
    <row r="146" spans="1:13">
      <c r="A146" t="s">
        <v>37</v>
      </c>
      <c r="C146" s="2" t="s">
        <v>5</v>
      </c>
      <c r="D146" s="2" t="s">
        <v>6</v>
      </c>
      <c r="E146" s="2" t="s">
        <v>7</v>
      </c>
      <c r="G146" s="2" t="s">
        <v>8</v>
      </c>
      <c r="H146" s="2" t="s">
        <v>9</v>
      </c>
      <c r="I146" s="2" t="s">
        <v>10</v>
      </c>
      <c r="K146" s="2" t="s">
        <v>11</v>
      </c>
      <c r="L146" s="2" t="s">
        <v>12</v>
      </c>
      <c r="M146" s="2" t="s">
        <v>13</v>
      </c>
    </row>
    <row r="147" spans="1:13">
      <c r="A147" t="s">
        <v>14</v>
      </c>
      <c r="C147" s="3">
        <v>4.4539999999999997</v>
      </c>
      <c r="D147" s="3">
        <v>3.758</v>
      </c>
      <c r="E147" s="3">
        <v>1.6439999999999999</v>
      </c>
      <c r="G147" s="3">
        <v>21.445</v>
      </c>
      <c r="H147" s="3">
        <v>3.3759999999999999</v>
      </c>
      <c r="I147" s="3">
        <v>2.66</v>
      </c>
      <c r="K147" s="3">
        <v>8.8539999999999992</v>
      </c>
      <c r="L147" s="3">
        <v>4.4320000000000004</v>
      </c>
      <c r="M147" s="3">
        <v>2.9820000000000002</v>
      </c>
    </row>
    <row r="148" spans="1:13">
      <c r="A148" t="s">
        <v>15</v>
      </c>
      <c r="C148" s="3">
        <v>0</v>
      </c>
      <c r="D148" s="3">
        <v>0</v>
      </c>
      <c r="E148" s="3">
        <v>0</v>
      </c>
      <c r="G148" s="3">
        <v>0</v>
      </c>
      <c r="H148" s="3">
        <v>0</v>
      </c>
      <c r="I148" s="3">
        <v>0</v>
      </c>
      <c r="K148" s="3">
        <v>0</v>
      </c>
      <c r="L148" s="3">
        <v>0</v>
      </c>
      <c r="M148" s="3">
        <v>0</v>
      </c>
    </row>
    <row r="149" spans="1:13">
      <c r="A149" t="s">
        <v>16</v>
      </c>
      <c r="C149" s="3">
        <f>C148/C147</f>
        <v>0</v>
      </c>
      <c r="D149" s="3">
        <f>D148/D147</f>
        <v>0</v>
      </c>
      <c r="E149" s="3">
        <f>E148/E147</f>
        <v>0</v>
      </c>
      <c r="G149" s="3">
        <f>G148/G147</f>
        <v>0</v>
      </c>
      <c r="H149" s="3">
        <f>H148/H147</f>
        <v>0</v>
      </c>
      <c r="I149" s="3">
        <f>I148/I147</f>
        <v>0</v>
      </c>
      <c r="K149" s="3">
        <f>K148/K147</f>
        <v>0</v>
      </c>
      <c r="L149" s="3">
        <f>L148/L147</f>
        <v>0</v>
      </c>
      <c r="M149" s="3">
        <f>M148/M147</f>
        <v>0</v>
      </c>
    </row>
    <row r="150" spans="1:13">
      <c r="A150" t="s">
        <v>17</v>
      </c>
      <c r="C150" s="3">
        <v>0</v>
      </c>
      <c r="D150" s="3">
        <v>0</v>
      </c>
      <c r="E150" s="3">
        <v>0</v>
      </c>
      <c r="G150" s="3">
        <v>0</v>
      </c>
      <c r="H150" s="3">
        <v>0</v>
      </c>
      <c r="I150" s="3">
        <v>0</v>
      </c>
      <c r="K150" s="3">
        <v>0</v>
      </c>
      <c r="L150" s="3">
        <v>0</v>
      </c>
      <c r="M150" s="3">
        <v>0</v>
      </c>
    </row>
    <row r="151" spans="1:13">
      <c r="A151" t="s">
        <v>18</v>
      </c>
      <c r="C151" s="3">
        <v>0</v>
      </c>
      <c r="D151" s="3">
        <v>0</v>
      </c>
      <c r="E151" s="3">
        <v>0</v>
      </c>
      <c r="G151" s="3">
        <v>0</v>
      </c>
      <c r="H151" s="3">
        <v>0</v>
      </c>
      <c r="I151" s="3">
        <v>0</v>
      </c>
      <c r="K151" s="3">
        <v>0</v>
      </c>
      <c r="L151" s="3">
        <v>0</v>
      </c>
      <c r="M151" s="3">
        <v>0</v>
      </c>
    </row>
    <row r="152" spans="1:13">
      <c r="A152" t="s">
        <v>19</v>
      </c>
      <c r="C152" s="3">
        <f>C148*C151*C150-C150</f>
        <v>0</v>
      </c>
      <c r="D152" s="3">
        <f>D148*D151*D150-D150</f>
        <v>0</v>
      </c>
      <c r="E152" s="3">
        <f>E148*E151*E150-E150</f>
        <v>0</v>
      </c>
      <c r="G152" s="3">
        <f>G148*G151*G150-G150</f>
        <v>0</v>
      </c>
      <c r="H152" s="3">
        <f>H148*H151*H150-H150</f>
        <v>0</v>
      </c>
      <c r="I152" s="3">
        <f>I148*I151*I150-I150</f>
        <v>0</v>
      </c>
      <c r="K152" s="3">
        <f>K148*K151*K150-K150</f>
        <v>0</v>
      </c>
      <c r="L152" s="3">
        <f>L148*L151*L150-L150</f>
        <v>0</v>
      </c>
      <c r="M152" s="3">
        <f>M148*M151*M150-M150</f>
        <v>0</v>
      </c>
    </row>
    <row r="154" spans="1:13">
      <c r="A154" s="1" t="s">
        <v>33</v>
      </c>
      <c r="C154" s="1" t="s">
        <v>1</v>
      </c>
      <c r="E154" s="1">
        <f>0+C161+D161+E161 + E145</f>
        <v>0</v>
      </c>
      <c r="G154" s="1" t="s">
        <v>2</v>
      </c>
      <c r="I154" s="1">
        <f>0+G161+H161+I161 + I145</f>
        <v>0</v>
      </c>
      <c r="K154" s="1" t="s">
        <v>3</v>
      </c>
      <c r="M154" s="1">
        <f>0+K161+L161+M161 + M145</f>
        <v>0</v>
      </c>
    </row>
    <row r="155" spans="1:13">
      <c r="A155" t="s">
        <v>38</v>
      </c>
      <c r="C155" s="2" t="s">
        <v>5</v>
      </c>
      <c r="D155" s="2" t="s">
        <v>6</v>
      </c>
      <c r="E155" s="2" t="s">
        <v>7</v>
      </c>
      <c r="G155" s="2" t="s">
        <v>8</v>
      </c>
      <c r="H155" s="2" t="s">
        <v>9</v>
      </c>
      <c r="I155" s="2" t="s">
        <v>10</v>
      </c>
      <c r="K155" s="2" t="s">
        <v>11</v>
      </c>
      <c r="L155" s="2" t="s">
        <v>12</v>
      </c>
      <c r="M155" s="2" t="s">
        <v>13</v>
      </c>
    </row>
    <row r="156" spans="1:13">
      <c r="A156" t="s">
        <v>14</v>
      </c>
      <c r="C156" s="3">
        <v>1.677</v>
      </c>
      <c r="D156" s="3">
        <v>70.176000000000002</v>
      </c>
      <c r="E156" s="3">
        <v>13.676</v>
      </c>
      <c r="G156" s="3">
        <v>1.881</v>
      </c>
      <c r="H156" s="3">
        <v>5.8380000000000001</v>
      </c>
      <c r="I156" s="3">
        <v>5.1890000000000001</v>
      </c>
      <c r="K156" s="3">
        <v>1.3859999999999999</v>
      </c>
      <c r="L156" s="3">
        <v>2.77</v>
      </c>
      <c r="M156" s="3">
        <v>3.3839999999999999</v>
      </c>
    </row>
    <row r="157" spans="1:13">
      <c r="A157" t="s">
        <v>15</v>
      </c>
      <c r="C157" s="3">
        <v>0</v>
      </c>
      <c r="D157" s="3">
        <v>0</v>
      </c>
      <c r="E157" s="3">
        <v>0</v>
      </c>
      <c r="G157" s="3">
        <v>0</v>
      </c>
      <c r="H157" s="3">
        <v>0</v>
      </c>
      <c r="I157" s="3">
        <v>0</v>
      </c>
      <c r="K157" s="3">
        <v>0</v>
      </c>
      <c r="L157" s="3">
        <v>0</v>
      </c>
      <c r="M157" s="3">
        <v>0</v>
      </c>
    </row>
    <row r="158" spans="1:13">
      <c r="A158" t="s">
        <v>16</v>
      </c>
      <c r="C158" s="3">
        <f>C157/C156</f>
        <v>0</v>
      </c>
      <c r="D158" s="3">
        <f>D157/D156</f>
        <v>0</v>
      </c>
      <c r="E158" s="3">
        <f>E157/E156</f>
        <v>0</v>
      </c>
      <c r="G158" s="3">
        <f>G157/G156</f>
        <v>0</v>
      </c>
      <c r="H158" s="3">
        <f>H157/H156</f>
        <v>0</v>
      </c>
      <c r="I158" s="3">
        <f>I157/I156</f>
        <v>0</v>
      </c>
      <c r="K158" s="3">
        <f>K157/K156</f>
        <v>0</v>
      </c>
      <c r="L158" s="3">
        <f>L157/L156</f>
        <v>0</v>
      </c>
      <c r="M158" s="3">
        <f>M157/M156</f>
        <v>0</v>
      </c>
    </row>
    <row r="159" spans="1:13">
      <c r="A159" t="s">
        <v>17</v>
      </c>
      <c r="C159" s="3">
        <v>0</v>
      </c>
      <c r="D159" s="3">
        <v>0</v>
      </c>
      <c r="E159" s="3">
        <v>0</v>
      </c>
      <c r="G159" s="3">
        <v>0</v>
      </c>
      <c r="H159" s="3">
        <v>0</v>
      </c>
      <c r="I159" s="3">
        <v>0</v>
      </c>
      <c r="K159" s="3">
        <v>0</v>
      </c>
      <c r="L159" s="3">
        <v>0</v>
      </c>
      <c r="M159" s="3">
        <v>0</v>
      </c>
    </row>
    <row r="160" spans="1:13">
      <c r="A160" t="s">
        <v>18</v>
      </c>
      <c r="C160" s="3">
        <v>0</v>
      </c>
      <c r="D160" s="3">
        <v>0</v>
      </c>
      <c r="E160" s="3">
        <v>0</v>
      </c>
      <c r="G160" s="3">
        <v>0</v>
      </c>
      <c r="H160" s="3">
        <v>0</v>
      </c>
      <c r="I160" s="3">
        <v>0</v>
      </c>
      <c r="K160" s="3">
        <v>0</v>
      </c>
      <c r="L160" s="3">
        <v>0</v>
      </c>
      <c r="M160" s="3">
        <v>0</v>
      </c>
    </row>
    <row r="161" spans="1:13">
      <c r="A161" t="s">
        <v>19</v>
      </c>
      <c r="C161" s="3">
        <f>C157*C160*C159-C159</f>
        <v>0</v>
      </c>
      <c r="D161" s="3">
        <f>D157*D160*D159-D159</f>
        <v>0</v>
      </c>
      <c r="E161" s="3">
        <f>E157*E160*E159-E159</f>
        <v>0</v>
      </c>
      <c r="G161" s="3">
        <f>G157*G160*G159-G159</f>
        <v>0</v>
      </c>
      <c r="H161" s="3">
        <f>H157*H160*H159-H159</f>
        <v>0</v>
      </c>
      <c r="I161" s="3">
        <f>I157*I160*I159-I159</f>
        <v>0</v>
      </c>
      <c r="K161" s="3">
        <f>K157*K160*K159-K159</f>
        <v>0</v>
      </c>
      <c r="L161" s="3">
        <f>L157*L160*L159-L159</f>
        <v>0</v>
      </c>
      <c r="M161" s="3">
        <f>M157*M160*M159-M159</f>
        <v>0</v>
      </c>
    </row>
    <row r="163" spans="1:13">
      <c r="A163" s="1" t="s">
        <v>33</v>
      </c>
      <c r="C163" s="1" t="s">
        <v>1</v>
      </c>
      <c r="E163" s="1">
        <f>0+C170+D170+E170 + E154</f>
        <v>0</v>
      </c>
      <c r="G163" s="1" t="s">
        <v>2</v>
      </c>
      <c r="I163" s="1">
        <f>0+G170+H170+I170 + I154</f>
        <v>0</v>
      </c>
      <c r="K163" s="1" t="s">
        <v>3</v>
      </c>
      <c r="M163" s="1">
        <f>0+K170+L170+M170 + M154</f>
        <v>0</v>
      </c>
    </row>
    <row r="164" spans="1:13">
      <c r="A164" t="s">
        <v>39</v>
      </c>
      <c r="C164" s="2" t="s">
        <v>5</v>
      </c>
      <c r="D164" s="2" t="s">
        <v>6</v>
      </c>
      <c r="E164" s="2" t="s">
        <v>7</v>
      </c>
      <c r="G164" s="2" t="s">
        <v>8</v>
      </c>
      <c r="H164" s="2" t="s">
        <v>9</v>
      </c>
      <c r="I164" s="2" t="s">
        <v>10</v>
      </c>
      <c r="K164" s="2" t="s">
        <v>11</v>
      </c>
      <c r="L164" s="2" t="s">
        <v>12</v>
      </c>
      <c r="M164" s="2" t="s">
        <v>13</v>
      </c>
    </row>
    <row r="165" spans="1:13">
      <c r="A165" t="s">
        <v>14</v>
      </c>
      <c r="C165" s="3">
        <v>2.78</v>
      </c>
      <c r="D165" s="3">
        <v>7.742</v>
      </c>
      <c r="E165" s="3">
        <v>4.3650000000000002</v>
      </c>
      <c r="G165" s="3">
        <v>4.9000000000000004</v>
      </c>
      <c r="H165" s="3">
        <v>1.984</v>
      </c>
      <c r="I165" s="3">
        <v>2.6080000000000001</v>
      </c>
      <c r="K165" s="3">
        <v>5.0090000000000003</v>
      </c>
      <c r="L165" s="3">
        <v>18.154</v>
      </c>
      <c r="M165" s="3">
        <v>15.362</v>
      </c>
    </row>
    <row r="166" spans="1:13">
      <c r="A166" t="s">
        <v>15</v>
      </c>
      <c r="C166" s="3">
        <v>0</v>
      </c>
      <c r="D166" s="3">
        <v>0</v>
      </c>
      <c r="E166" s="3">
        <v>0</v>
      </c>
      <c r="G166" s="3">
        <v>0</v>
      </c>
      <c r="H166" s="3">
        <v>0</v>
      </c>
      <c r="I166" s="3">
        <v>0</v>
      </c>
      <c r="K166" s="3">
        <v>0</v>
      </c>
      <c r="L166" s="3">
        <v>0</v>
      </c>
      <c r="M166" s="3">
        <v>0</v>
      </c>
    </row>
    <row r="167" spans="1:13">
      <c r="A167" t="s">
        <v>16</v>
      </c>
      <c r="C167" s="3">
        <f>C166/C165</f>
        <v>0</v>
      </c>
      <c r="D167" s="3">
        <f>D166/D165</f>
        <v>0</v>
      </c>
      <c r="E167" s="3">
        <f>E166/E165</f>
        <v>0</v>
      </c>
      <c r="G167" s="3">
        <f>G166/G165</f>
        <v>0</v>
      </c>
      <c r="H167" s="3">
        <f>H166/H165</f>
        <v>0</v>
      </c>
      <c r="I167" s="3">
        <f>I166/I165</f>
        <v>0</v>
      </c>
      <c r="K167" s="3">
        <f>K166/K165</f>
        <v>0</v>
      </c>
      <c r="L167" s="3">
        <f>L166/L165</f>
        <v>0</v>
      </c>
      <c r="M167" s="3">
        <f>M166/M165</f>
        <v>0</v>
      </c>
    </row>
    <row r="168" spans="1:13">
      <c r="A168" t="s">
        <v>17</v>
      </c>
      <c r="C168" s="3">
        <v>0</v>
      </c>
      <c r="D168" s="3">
        <v>0</v>
      </c>
      <c r="E168" s="3">
        <v>0</v>
      </c>
      <c r="G168" s="3">
        <v>0</v>
      </c>
      <c r="H168" s="3">
        <v>0</v>
      </c>
      <c r="I168" s="3">
        <v>0</v>
      </c>
      <c r="K168" s="3">
        <v>0</v>
      </c>
      <c r="L168" s="3">
        <v>0</v>
      </c>
      <c r="M168" s="3">
        <v>0</v>
      </c>
    </row>
    <row r="169" spans="1:13">
      <c r="A169" t="s">
        <v>18</v>
      </c>
      <c r="C169" s="3">
        <v>0</v>
      </c>
      <c r="D169" s="3">
        <v>0</v>
      </c>
      <c r="E169" s="3">
        <v>0</v>
      </c>
      <c r="G169" s="3">
        <v>0</v>
      </c>
      <c r="H169" s="3">
        <v>0</v>
      </c>
      <c r="I169" s="3">
        <v>0</v>
      </c>
      <c r="K169" s="3">
        <v>0</v>
      </c>
      <c r="L169" s="3">
        <v>0</v>
      </c>
      <c r="M169" s="3">
        <v>0</v>
      </c>
    </row>
    <row r="170" spans="1:13">
      <c r="A170" t="s">
        <v>19</v>
      </c>
      <c r="C170" s="3">
        <f>C166*C169*C168-C168</f>
        <v>0</v>
      </c>
      <c r="D170" s="3">
        <f>D166*D169*D168-D168</f>
        <v>0</v>
      </c>
      <c r="E170" s="3">
        <f>E166*E169*E168-E168</f>
        <v>0</v>
      </c>
      <c r="G170" s="3">
        <f>G166*G169*G168-G168</f>
        <v>0</v>
      </c>
      <c r="H170" s="3">
        <f>H166*H169*H168-H168</f>
        <v>0</v>
      </c>
      <c r="I170" s="3">
        <f>I166*I169*I168-I168</f>
        <v>0</v>
      </c>
      <c r="K170" s="3">
        <f>K166*K169*K168-K168</f>
        <v>0</v>
      </c>
      <c r="L170" s="3">
        <f>L166*L169*L168-L168</f>
        <v>0</v>
      </c>
      <c r="M170" s="3">
        <f>M166*M169*M168-M168</f>
        <v>0</v>
      </c>
    </row>
    <row r="172" spans="1:13">
      <c r="A172" s="1" t="s">
        <v>33</v>
      </c>
      <c r="C172" s="1" t="s">
        <v>1</v>
      </c>
      <c r="E172" s="1">
        <f>0+C179+D179+E179 + E163</f>
        <v>0</v>
      </c>
      <c r="G172" s="1" t="s">
        <v>2</v>
      </c>
      <c r="I172" s="1">
        <f>0+G179+H179+I179 + I163</f>
        <v>0</v>
      </c>
      <c r="K172" s="1" t="s">
        <v>3</v>
      </c>
      <c r="M172" s="1">
        <f>0+K179+L179+M179 + M163</f>
        <v>0</v>
      </c>
    </row>
    <row r="173" spans="1:13">
      <c r="A173" t="s">
        <v>40</v>
      </c>
      <c r="C173" s="2" t="s">
        <v>5</v>
      </c>
      <c r="D173" s="2" t="s">
        <v>6</v>
      </c>
      <c r="E173" s="2" t="s">
        <v>7</v>
      </c>
      <c r="G173" s="2" t="s">
        <v>8</v>
      </c>
      <c r="H173" s="2" t="s">
        <v>9</v>
      </c>
      <c r="I173" s="2" t="s">
        <v>10</v>
      </c>
      <c r="K173" s="2" t="s">
        <v>11</v>
      </c>
      <c r="L173" s="2" t="s">
        <v>12</v>
      </c>
      <c r="M173" s="2" t="s">
        <v>13</v>
      </c>
    </row>
    <row r="174" spans="1:13">
      <c r="A174" t="s">
        <v>14</v>
      </c>
      <c r="C174" s="3">
        <v>2.1789999999999998</v>
      </c>
      <c r="D174" s="3">
        <v>1.369</v>
      </c>
      <c r="E174" s="3">
        <v>1.5209999999999999</v>
      </c>
      <c r="G174" s="3">
        <v>3.9220000000000002</v>
      </c>
      <c r="H174" s="3">
        <v>1.5640000000000001</v>
      </c>
      <c r="I174" s="3">
        <v>24.106999999999999</v>
      </c>
      <c r="K174" s="3">
        <v>4.4829999999999997</v>
      </c>
      <c r="L174" s="3">
        <v>2.403</v>
      </c>
      <c r="M174" s="3">
        <v>42.509</v>
      </c>
    </row>
    <row r="175" spans="1:13">
      <c r="A175" t="s">
        <v>15</v>
      </c>
      <c r="C175" s="3">
        <v>0</v>
      </c>
      <c r="D175" s="3">
        <v>0</v>
      </c>
      <c r="E175" s="3">
        <v>0</v>
      </c>
      <c r="G175" s="3">
        <v>0</v>
      </c>
      <c r="H175" s="3">
        <v>0</v>
      </c>
      <c r="I175" s="3">
        <v>0</v>
      </c>
      <c r="K175" s="3">
        <v>0</v>
      </c>
      <c r="L175" s="3">
        <v>0</v>
      </c>
      <c r="M175" s="3">
        <v>0</v>
      </c>
    </row>
    <row r="176" spans="1:13">
      <c r="A176" t="s">
        <v>16</v>
      </c>
      <c r="C176" s="3">
        <f>C175/C174</f>
        <v>0</v>
      </c>
      <c r="D176" s="3">
        <f>D175/D174</f>
        <v>0</v>
      </c>
      <c r="E176" s="3">
        <f>E175/E174</f>
        <v>0</v>
      </c>
      <c r="G176" s="3">
        <f>G175/G174</f>
        <v>0</v>
      </c>
      <c r="H176" s="3">
        <f>H175/H174</f>
        <v>0</v>
      </c>
      <c r="I176" s="3">
        <f>I175/I174</f>
        <v>0</v>
      </c>
      <c r="K176" s="3">
        <f>K175/K174</f>
        <v>0</v>
      </c>
      <c r="L176" s="3">
        <f>L175/L174</f>
        <v>0</v>
      </c>
      <c r="M176" s="3">
        <f>M175/M174</f>
        <v>0</v>
      </c>
    </row>
    <row r="177" spans="1:13">
      <c r="A177" t="s">
        <v>17</v>
      </c>
      <c r="C177" s="3">
        <v>0</v>
      </c>
      <c r="D177" s="3">
        <v>0</v>
      </c>
      <c r="E177" s="3">
        <v>0</v>
      </c>
      <c r="G177" s="3">
        <v>0</v>
      </c>
      <c r="H177" s="3">
        <v>0</v>
      </c>
      <c r="I177" s="3">
        <v>0</v>
      </c>
      <c r="K177" s="3">
        <v>0</v>
      </c>
      <c r="L177" s="3">
        <v>0</v>
      </c>
      <c r="M177" s="3">
        <v>0</v>
      </c>
    </row>
    <row r="178" spans="1:13">
      <c r="A178" t="s">
        <v>18</v>
      </c>
      <c r="C178" s="3">
        <v>0</v>
      </c>
      <c r="D178" s="3">
        <v>0</v>
      </c>
      <c r="E178" s="3">
        <v>0</v>
      </c>
      <c r="G178" s="3">
        <v>0</v>
      </c>
      <c r="H178" s="3">
        <v>0</v>
      </c>
      <c r="I178" s="3">
        <v>0</v>
      </c>
      <c r="K178" s="3">
        <v>0</v>
      </c>
      <c r="L178" s="3">
        <v>0</v>
      </c>
      <c r="M178" s="3">
        <v>0</v>
      </c>
    </row>
    <row r="179" spans="1:13">
      <c r="A179" t="s">
        <v>19</v>
      </c>
      <c r="C179" s="3">
        <f>C175*C178*C177-C177</f>
        <v>0</v>
      </c>
      <c r="D179" s="3">
        <f>D175*D178*D177-D177</f>
        <v>0</v>
      </c>
      <c r="E179" s="3">
        <f>E175*E178*E177-E177</f>
        <v>0</v>
      </c>
      <c r="G179" s="3">
        <f>G175*G178*G177-G177</f>
        <v>0</v>
      </c>
      <c r="H179" s="3">
        <f>H175*H178*H177-H177</f>
        <v>0</v>
      </c>
      <c r="I179" s="3">
        <f>I175*I178*I177-I177</f>
        <v>0</v>
      </c>
      <c r="K179" s="3">
        <f>K175*K178*K177-K177</f>
        <v>0</v>
      </c>
      <c r="L179" s="3">
        <f>L175*L178*L177-L177</f>
        <v>0</v>
      </c>
      <c r="M179" s="3">
        <f>M175*M178*M177-M177</f>
        <v>0</v>
      </c>
    </row>
    <row r="181" spans="1:13">
      <c r="A181" s="1" t="s">
        <v>33</v>
      </c>
      <c r="C181" s="1" t="s">
        <v>1</v>
      </c>
      <c r="E181" s="1">
        <f>0+C188+D188+E188 + E172</f>
        <v>0</v>
      </c>
      <c r="G181" s="1" t="s">
        <v>2</v>
      </c>
      <c r="I181" s="1">
        <f>0+G188+H188+I188 + I172</f>
        <v>0</v>
      </c>
      <c r="K181" s="1" t="s">
        <v>3</v>
      </c>
      <c r="M181" s="1">
        <f>0+K188+L188+M188 + M172</f>
        <v>0</v>
      </c>
    </row>
    <row r="182" spans="1:13">
      <c r="A182" t="s">
        <v>41</v>
      </c>
      <c r="C182" s="2" t="s">
        <v>5</v>
      </c>
      <c r="D182" s="2" t="s">
        <v>6</v>
      </c>
      <c r="E182" s="2" t="s">
        <v>7</v>
      </c>
      <c r="G182" s="2" t="s">
        <v>8</v>
      </c>
      <c r="H182" s="2" t="s">
        <v>9</v>
      </c>
      <c r="I182" s="2" t="s">
        <v>10</v>
      </c>
      <c r="K182" s="2" t="s">
        <v>11</v>
      </c>
      <c r="L182" s="2" t="s">
        <v>12</v>
      </c>
      <c r="M182" s="2" t="s">
        <v>13</v>
      </c>
    </row>
    <row r="183" spans="1:13">
      <c r="A183" t="s">
        <v>14</v>
      </c>
      <c r="C183" s="3">
        <v>7.867</v>
      </c>
      <c r="D183" s="3">
        <v>23.562000000000001</v>
      </c>
      <c r="E183" s="3">
        <v>1.7629999999999999</v>
      </c>
      <c r="G183" s="3">
        <v>7.6749999999999998</v>
      </c>
      <c r="H183" s="3">
        <v>3.0139999999999998</v>
      </c>
      <c r="I183" s="3">
        <v>5.4169999999999998</v>
      </c>
      <c r="K183" s="3">
        <v>1.2370000000000001</v>
      </c>
      <c r="L183" s="3">
        <v>3.468</v>
      </c>
      <c r="M183" s="3">
        <v>1.39</v>
      </c>
    </row>
    <row r="184" spans="1:13">
      <c r="A184" t="s">
        <v>15</v>
      </c>
      <c r="C184" s="3">
        <v>0</v>
      </c>
      <c r="D184" s="3">
        <v>0</v>
      </c>
      <c r="E184" s="3">
        <v>0</v>
      </c>
      <c r="G184" s="3">
        <v>0</v>
      </c>
      <c r="H184" s="3">
        <v>0</v>
      </c>
      <c r="I184" s="3">
        <v>0</v>
      </c>
      <c r="K184" s="3">
        <v>0</v>
      </c>
      <c r="L184" s="3">
        <v>0</v>
      </c>
      <c r="M184" s="3">
        <v>0</v>
      </c>
    </row>
    <row r="185" spans="1:13">
      <c r="A185" t="s">
        <v>16</v>
      </c>
      <c r="C185" s="3">
        <f>C184/C183</f>
        <v>0</v>
      </c>
      <c r="D185" s="3">
        <f>D184/D183</f>
        <v>0</v>
      </c>
      <c r="E185" s="3">
        <f>E184/E183</f>
        <v>0</v>
      </c>
      <c r="G185" s="3">
        <f>G184/G183</f>
        <v>0</v>
      </c>
      <c r="H185" s="3">
        <f>H184/H183</f>
        <v>0</v>
      </c>
      <c r="I185" s="3">
        <f>I184/I183</f>
        <v>0</v>
      </c>
      <c r="K185" s="3">
        <f>K184/K183</f>
        <v>0</v>
      </c>
      <c r="L185" s="3">
        <f>L184/L183</f>
        <v>0</v>
      </c>
      <c r="M185" s="3">
        <f>M184/M183</f>
        <v>0</v>
      </c>
    </row>
    <row r="186" spans="1:13">
      <c r="A186" t="s">
        <v>17</v>
      </c>
      <c r="C186" s="3">
        <v>0</v>
      </c>
      <c r="D186" s="3">
        <v>0</v>
      </c>
      <c r="E186" s="3">
        <v>0</v>
      </c>
      <c r="G186" s="3">
        <v>0</v>
      </c>
      <c r="H186" s="3">
        <v>0</v>
      </c>
      <c r="I186" s="3">
        <v>0</v>
      </c>
      <c r="K186" s="3">
        <v>0</v>
      </c>
      <c r="L186" s="3">
        <v>0</v>
      </c>
      <c r="M186" s="3">
        <v>0</v>
      </c>
    </row>
    <row r="187" spans="1:13">
      <c r="A187" t="s">
        <v>18</v>
      </c>
      <c r="C187" s="3">
        <v>0</v>
      </c>
      <c r="D187" s="3">
        <v>0</v>
      </c>
      <c r="E187" s="3">
        <v>0</v>
      </c>
      <c r="G187" s="3">
        <v>0</v>
      </c>
      <c r="H187" s="3">
        <v>0</v>
      </c>
      <c r="I187" s="3">
        <v>0</v>
      </c>
      <c r="K187" s="3">
        <v>0</v>
      </c>
      <c r="L187" s="3">
        <v>0</v>
      </c>
      <c r="M187" s="3">
        <v>0</v>
      </c>
    </row>
    <row r="188" spans="1:13">
      <c r="A188" t="s">
        <v>19</v>
      </c>
      <c r="C188" s="3">
        <f>C184*C187*C186-C186</f>
        <v>0</v>
      </c>
      <c r="D188" s="3">
        <f>D184*D187*D186-D186</f>
        <v>0</v>
      </c>
      <c r="E188" s="3">
        <f>E184*E187*E186-E186</f>
        <v>0</v>
      </c>
      <c r="G188" s="3">
        <f>G184*G187*G186-G186</f>
        <v>0</v>
      </c>
      <c r="H188" s="3">
        <f>H184*H187*H186-H186</f>
        <v>0</v>
      </c>
      <c r="I188" s="3">
        <f>I184*I187*I186-I186</f>
        <v>0</v>
      </c>
      <c r="K188" s="3">
        <f>K184*K187*K186-K186</f>
        <v>0</v>
      </c>
      <c r="L188" s="3">
        <f>L184*L187*L186-L186</f>
        <v>0</v>
      </c>
      <c r="M188" s="3">
        <f>M184*M187*M186-M186</f>
        <v>0</v>
      </c>
    </row>
    <row r="190" spans="1:13">
      <c r="A190" s="1" t="s">
        <v>42</v>
      </c>
      <c r="C190" s="1" t="s">
        <v>1</v>
      </c>
      <c r="E190" s="1">
        <f>0+C197+D197+E197 + E181</f>
        <v>0</v>
      </c>
      <c r="G190" s="1" t="s">
        <v>2</v>
      </c>
      <c r="I190" s="1">
        <f>0+G197+H197+I197 + I181</f>
        <v>0</v>
      </c>
      <c r="K190" s="1" t="s">
        <v>3</v>
      </c>
      <c r="M190" s="1">
        <f>0+K197+L197+M197 + M181</f>
        <v>0</v>
      </c>
    </row>
    <row r="191" spans="1:13">
      <c r="A191" t="s">
        <v>43</v>
      </c>
      <c r="C191" s="2" t="s">
        <v>5</v>
      </c>
      <c r="D191" s="2" t="s">
        <v>6</v>
      </c>
      <c r="E191" s="2" t="s">
        <v>7</v>
      </c>
      <c r="G191" s="2" t="s">
        <v>8</v>
      </c>
      <c r="H191" s="2" t="s">
        <v>9</v>
      </c>
      <c r="I191" s="2" t="s">
        <v>10</v>
      </c>
      <c r="K191" s="2" t="s">
        <v>11</v>
      </c>
      <c r="L191" s="2" t="s">
        <v>12</v>
      </c>
      <c r="M191" s="2" t="s">
        <v>13</v>
      </c>
    </row>
    <row r="192" spans="1:13">
      <c r="A192" t="s">
        <v>14</v>
      </c>
      <c r="C192" s="3">
        <v>3.3860000000000001</v>
      </c>
      <c r="D192" s="3">
        <v>6.1130000000000004</v>
      </c>
      <c r="E192" s="3">
        <v>5.8449999999999998</v>
      </c>
      <c r="G192" s="3">
        <v>2.895</v>
      </c>
      <c r="H192" s="3">
        <v>48.476999999999997</v>
      </c>
      <c r="I192" s="3">
        <v>4.1429999999999998</v>
      </c>
      <c r="K192" s="3">
        <v>1.633</v>
      </c>
      <c r="L192" s="3">
        <v>2.86</v>
      </c>
      <c r="M192" s="3">
        <v>7.2089999999999996</v>
      </c>
    </row>
    <row r="193" spans="1:13">
      <c r="A193" t="s">
        <v>15</v>
      </c>
      <c r="C193" s="3">
        <v>0</v>
      </c>
      <c r="D193" s="3">
        <v>0</v>
      </c>
      <c r="E193" s="3">
        <v>0</v>
      </c>
      <c r="G193" s="3">
        <v>0</v>
      </c>
      <c r="H193" s="3">
        <v>0</v>
      </c>
      <c r="I193" s="3">
        <v>0</v>
      </c>
      <c r="K193" s="3">
        <v>0</v>
      </c>
      <c r="L193" s="3">
        <v>0</v>
      </c>
      <c r="M193" s="3">
        <v>0</v>
      </c>
    </row>
    <row r="194" spans="1:13">
      <c r="A194" t="s">
        <v>16</v>
      </c>
      <c r="C194" s="3">
        <f>C193/C192</f>
        <v>0</v>
      </c>
      <c r="D194" s="3">
        <f>D193/D192</f>
        <v>0</v>
      </c>
      <c r="E194" s="3">
        <f>E193/E192</f>
        <v>0</v>
      </c>
      <c r="G194" s="3">
        <f>G193/G192</f>
        <v>0</v>
      </c>
      <c r="H194" s="3">
        <f>H193/H192</f>
        <v>0</v>
      </c>
      <c r="I194" s="3">
        <f>I193/I192</f>
        <v>0</v>
      </c>
      <c r="K194" s="3">
        <f>K193/K192</f>
        <v>0</v>
      </c>
      <c r="L194" s="3">
        <f>L193/L192</f>
        <v>0</v>
      </c>
      <c r="M194" s="3">
        <f>M193/M192</f>
        <v>0</v>
      </c>
    </row>
    <row r="195" spans="1:13">
      <c r="A195" t="s">
        <v>17</v>
      </c>
      <c r="C195" s="3">
        <v>0</v>
      </c>
      <c r="D195" s="3">
        <v>0</v>
      </c>
      <c r="E195" s="3">
        <v>0</v>
      </c>
      <c r="G195" s="3">
        <v>0</v>
      </c>
      <c r="H195" s="3">
        <v>0</v>
      </c>
      <c r="I195" s="3">
        <v>0</v>
      </c>
      <c r="K195" s="3">
        <v>0</v>
      </c>
      <c r="L195" s="3">
        <v>0</v>
      </c>
      <c r="M195" s="3">
        <v>0</v>
      </c>
    </row>
    <row r="196" spans="1:13">
      <c r="A196" t="s">
        <v>18</v>
      </c>
      <c r="C196" s="3">
        <v>0</v>
      </c>
      <c r="D196" s="3">
        <v>0</v>
      </c>
      <c r="E196" s="3">
        <v>0</v>
      </c>
      <c r="G196" s="3">
        <v>0</v>
      </c>
      <c r="H196" s="3">
        <v>0</v>
      </c>
      <c r="I196" s="3">
        <v>0</v>
      </c>
      <c r="K196" s="3">
        <v>0</v>
      </c>
      <c r="L196" s="3">
        <v>0</v>
      </c>
      <c r="M196" s="3">
        <v>0</v>
      </c>
    </row>
    <row r="197" spans="1:13">
      <c r="A197" t="s">
        <v>19</v>
      </c>
      <c r="C197" s="3">
        <f>C193*C196*C195-C195</f>
        <v>0</v>
      </c>
      <c r="D197" s="3">
        <f>D193*D196*D195-D195</f>
        <v>0</v>
      </c>
      <c r="E197" s="3">
        <f>E193*E196*E195-E195</f>
        <v>0</v>
      </c>
      <c r="G197" s="3">
        <f>G193*G196*G195-G195</f>
        <v>0</v>
      </c>
      <c r="H197" s="3">
        <f>H193*H196*H195-H195</f>
        <v>0</v>
      </c>
      <c r="I197" s="3">
        <f>I193*I196*I195-I195</f>
        <v>0</v>
      </c>
      <c r="K197" s="3">
        <f>K193*K196*K195-K195</f>
        <v>0</v>
      </c>
      <c r="L197" s="3">
        <f>L193*L196*L195-L195</f>
        <v>0</v>
      </c>
      <c r="M197" s="3">
        <f>M193*M196*M195-M195</f>
        <v>0</v>
      </c>
    </row>
    <row r="199" spans="1:13">
      <c r="A199" s="1" t="s">
        <v>42</v>
      </c>
      <c r="C199" s="1" t="s">
        <v>1</v>
      </c>
      <c r="E199" s="1">
        <f>0+C206+D206+E206 + E190</f>
        <v>0</v>
      </c>
      <c r="G199" s="1" t="s">
        <v>2</v>
      </c>
      <c r="I199" s="1">
        <f>0+G206+H206+I206 + I190</f>
        <v>0</v>
      </c>
      <c r="K199" s="1" t="s">
        <v>3</v>
      </c>
      <c r="M199" s="1">
        <f>0+K206+L206+M206 + M190</f>
        <v>0</v>
      </c>
    </row>
    <row r="200" spans="1:13">
      <c r="A200" t="s">
        <v>44</v>
      </c>
      <c r="C200" s="2" t="s">
        <v>5</v>
      </c>
      <c r="D200" s="2" t="s">
        <v>6</v>
      </c>
      <c r="E200" s="2" t="s">
        <v>7</v>
      </c>
      <c r="G200" s="2" t="s">
        <v>8</v>
      </c>
      <c r="H200" s="2" t="s">
        <v>9</v>
      </c>
      <c r="I200" s="2" t="s">
        <v>10</v>
      </c>
      <c r="K200" s="2" t="s">
        <v>11</v>
      </c>
      <c r="L200" s="2" t="s">
        <v>12</v>
      </c>
      <c r="M200" s="2" t="s">
        <v>13</v>
      </c>
    </row>
    <row r="201" spans="1:13">
      <c r="A201" t="s">
        <v>14</v>
      </c>
      <c r="C201" s="3">
        <v>1.2809999999999999</v>
      </c>
      <c r="D201" s="3">
        <v>21.513999999999999</v>
      </c>
      <c r="E201" s="3">
        <v>5.0860000000000003</v>
      </c>
      <c r="G201" s="3">
        <v>2.8180000000000001</v>
      </c>
      <c r="H201" s="3">
        <v>3.0150000000000001</v>
      </c>
      <c r="I201" s="3">
        <v>26.056000000000001</v>
      </c>
      <c r="K201" s="3">
        <v>1.609</v>
      </c>
      <c r="L201" s="3">
        <v>1.1359999999999999</v>
      </c>
      <c r="M201" s="3">
        <v>9.0350000000000001</v>
      </c>
    </row>
    <row r="202" spans="1:13">
      <c r="A202" t="s">
        <v>15</v>
      </c>
      <c r="C202" s="3">
        <v>0</v>
      </c>
      <c r="D202" s="3">
        <v>0</v>
      </c>
      <c r="E202" s="3">
        <v>0</v>
      </c>
      <c r="G202" s="3">
        <v>0</v>
      </c>
      <c r="H202" s="3">
        <v>0</v>
      </c>
      <c r="I202" s="3">
        <v>0</v>
      </c>
      <c r="K202" s="3">
        <v>0</v>
      </c>
      <c r="L202" s="3">
        <v>0</v>
      </c>
      <c r="M202" s="3">
        <v>0</v>
      </c>
    </row>
    <row r="203" spans="1:13">
      <c r="A203" t="s">
        <v>16</v>
      </c>
      <c r="C203" s="3">
        <f>C202/C201</f>
        <v>0</v>
      </c>
      <c r="D203" s="3">
        <f>D202/D201</f>
        <v>0</v>
      </c>
      <c r="E203" s="3">
        <f>E202/E201</f>
        <v>0</v>
      </c>
      <c r="G203" s="3">
        <f>G202/G201</f>
        <v>0</v>
      </c>
      <c r="H203" s="3">
        <f>H202/H201</f>
        <v>0</v>
      </c>
      <c r="I203" s="3">
        <f>I202/I201</f>
        <v>0</v>
      </c>
      <c r="K203" s="3">
        <f>K202/K201</f>
        <v>0</v>
      </c>
      <c r="L203" s="3">
        <f>L202/L201</f>
        <v>0</v>
      </c>
      <c r="M203" s="3">
        <f>M202/M201</f>
        <v>0</v>
      </c>
    </row>
    <row r="204" spans="1:13">
      <c r="A204" t="s">
        <v>17</v>
      </c>
      <c r="C204" s="3">
        <v>0</v>
      </c>
      <c r="D204" s="3">
        <v>0</v>
      </c>
      <c r="E204" s="3">
        <v>0</v>
      </c>
      <c r="G204" s="3">
        <v>0</v>
      </c>
      <c r="H204" s="3">
        <v>0</v>
      </c>
      <c r="I204" s="3">
        <v>0</v>
      </c>
      <c r="K204" s="3">
        <v>0</v>
      </c>
      <c r="L204" s="3">
        <v>0</v>
      </c>
      <c r="M204" s="3">
        <v>0</v>
      </c>
    </row>
    <row r="205" spans="1:13">
      <c r="A205" t="s">
        <v>18</v>
      </c>
      <c r="C205" s="3">
        <v>0</v>
      </c>
      <c r="D205" s="3">
        <v>0</v>
      </c>
      <c r="E205" s="3">
        <v>0</v>
      </c>
      <c r="G205" s="3">
        <v>0</v>
      </c>
      <c r="H205" s="3">
        <v>0</v>
      </c>
      <c r="I205" s="3">
        <v>0</v>
      </c>
      <c r="K205" s="3">
        <v>0</v>
      </c>
      <c r="L205" s="3">
        <v>0</v>
      </c>
      <c r="M205" s="3">
        <v>0</v>
      </c>
    </row>
    <row r="206" spans="1:13">
      <c r="A206" t="s">
        <v>19</v>
      </c>
      <c r="C206" s="3">
        <f>C202*C205*C204-C204</f>
        <v>0</v>
      </c>
      <c r="D206" s="3">
        <f>D202*D205*D204-D204</f>
        <v>0</v>
      </c>
      <c r="E206" s="3">
        <f>E202*E205*E204-E204</f>
        <v>0</v>
      </c>
      <c r="G206" s="3">
        <f>G202*G205*G204-G204</f>
        <v>0</v>
      </c>
      <c r="H206" s="3">
        <f>H202*H205*H204-H204</f>
        <v>0</v>
      </c>
      <c r="I206" s="3">
        <f>I202*I205*I204-I204</f>
        <v>0</v>
      </c>
      <c r="K206" s="3">
        <f>K202*K205*K204-K204</f>
        <v>0</v>
      </c>
      <c r="L206" s="3">
        <f>L202*L205*L204-L204</f>
        <v>0</v>
      </c>
      <c r="M206" s="3">
        <f>M202*M205*M204-M204</f>
        <v>0</v>
      </c>
    </row>
    <row r="208" spans="1:13">
      <c r="A208" s="1" t="s">
        <v>42</v>
      </c>
      <c r="C208" s="1" t="s">
        <v>1</v>
      </c>
      <c r="E208" s="1">
        <f>0+C215+D215+E215 + E199</f>
        <v>0</v>
      </c>
      <c r="G208" s="1" t="s">
        <v>2</v>
      </c>
      <c r="I208" s="1">
        <f>0+G215+H215+I215 + I199</f>
        <v>0</v>
      </c>
      <c r="K208" s="1" t="s">
        <v>3</v>
      </c>
      <c r="M208" s="1">
        <f>0+K215+L215+M215 + M199</f>
        <v>0</v>
      </c>
    </row>
    <row r="209" spans="1:13">
      <c r="A209" t="s">
        <v>45</v>
      </c>
      <c r="C209" s="2" t="s">
        <v>5</v>
      </c>
      <c r="D209" s="2" t="s">
        <v>6</v>
      </c>
      <c r="E209" s="2" t="s">
        <v>7</v>
      </c>
      <c r="G209" s="2" t="s">
        <v>8</v>
      </c>
      <c r="H209" s="2" t="s">
        <v>9</v>
      </c>
      <c r="I209" s="2" t="s">
        <v>10</v>
      </c>
      <c r="K209" s="2" t="s">
        <v>11</v>
      </c>
      <c r="L209" s="2" t="s">
        <v>12</v>
      </c>
      <c r="M209" s="2" t="s">
        <v>13</v>
      </c>
    </row>
    <row r="210" spans="1:13">
      <c r="A210" t="s">
        <v>14</v>
      </c>
      <c r="C210" s="3">
        <v>1.22</v>
      </c>
      <c r="D210" s="3">
        <v>14.162000000000001</v>
      </c>
      <c r="E210" s="3">
        <v>3.9129999999999998</v>
      </c>
      <c r="G210" s="3">
        <v>4.4930000000000003</v>
      </c>
      <c r="H210" s="3">
        <v>8.1449999999999996</v>
      </c>
      <c r="I210" s="3">
        <v>7.4459999999999997</v>
      </c>
      <c r="K210" s="3">
        <v>2.9380000000000002</v>
      </c>
      <c r="L210" s="3">
        <v>3.2090000000000001</v>
      </c>
      <c r="M210" s="3">
        <v>4.3499999999999996</v>
      </c>
    </row>
    <row r="211" spans="1:13">
      <c r="A211" t="s">
        <v>15</v>
      </c>
      <c r="C211" s="3">
        <v>0</v>
      </c>
      <c r="D211" s="3">
        <v>0</v>
      </c>
      <c r="E211" s="3">
        <v>0</v>
      </c>
      <c r="G211" s="3">
        <v>0</v>
      </c>
      <c r="H211" s="3">
        <v>0</v>
      </c>
      <c r="I211" s="3">
        <v>0</v>
      </c>
      <c r="K211" s="3">
        <v>0</v>
      </c>
      <c r="L211" s="3">
        <v>0</v>
      </c>
      <c r="M211" s="3">
        <v>0</v>
      </c>
    </row>
    <row r="212" spans="1:13">
      <c r="A212" t="s">
        <v>16</v>
      </c>
      <c r="C212" s="3">
        <f>C211/C210</f>
        <v>0</v>
      </c>
      <c r="D212" s="3">
        <f>D211/D210</f>
        <v>0</v>
      </c>
      <c r="E212" s="3">
        <f>E211/E210</f>
        <v>0</v>
      </c>
      <c r="G212" s="3">
        <f>G211/G210</f>
        <v>0</v>
      </c>
      <c r="H212" s="3">
        <f>H211/H210</f>
        <v>0</v>
      </c>
      <c r="I212" s="3">
        <f>I211/I210</f>
        <v>0</v>
      </c>
      <c r="K212" s="3">
        <f>K211/K210</f>
        <v>0</v>
      </c>
      <c r="L212" s="3">
        <f>L211/L210</f>
        <v>0</v>
      </c>
      <c r="M212" s="3">
        <f>M211/M210</f>
        <v>0</v>
      </c>
    </row>
    <row r="213" spans="1:13">
      <c r="A213" t="s">
        <v>17</v>
      </c>
      <c r="C213" s="3">
        <v>0</v>
      </c>
      <c r="D213" s="3">
        <v>0</v>
      </c>
      <c r="E213" s="3">
        <v>0</v>
      </c>
      <c r="G213" s="3">
        <v>0</v>
      </c>
      <c r="H213" s="3">
        <v>0</v>
      </c>
      <c r="I213" s="3">
        <v>0</v>
      </c>
      <c r="K213" s="3">
        <v>0</v>
      </c>
      <c r="L213" s="3">
        <v>0</v>
      </c>
      <c r="M213" s="3">
        <v>0</v>
      </c>
    </row>
    <row r="214" spans="1:13">
      <c r="A214" t="s">
        <v>18</v>
      </c>
      <c r="C214" s="3">
        <v>0</v>
      </c>
      <c r="D214" s="3">
        <v>0</v>
      </c>
      <c r="E214" s="3">
        <v>0</v>
      </c>
      <c r="G214" s="3">
        <v>0</v>
      </c>
      <c r="H214" s="3">
        <v>0</v>
      </c>
      <c r="I214" s="3">
        <v>0</v>
      </c>
      <c r="K214" s="3">
        <v>0</v>
      </c>
      <c r="L214" s="3">
        <v>0</v>
      </c>
      <c r="M214" s="3">
        <v>0</v>
      </c>
    </row>
    <row r="215" spans="1:13">
      <c r="A215" t="s">
        <v>19</v>
      </c>
      <c r="C215" s="3">
        <f>C211*C214*C213-C213</f>
        <v>0</v>
      </c>
      <c r="D215" s="3">
        <f>D211*D214*D213-D213</f>
        <v>0</v>
      </c>
      <c r="E215" s="3">
        <f>E211*E214*E213-E213</f>
        <v>0</v>
      </c>
      <c r="G215" s="3">
        <f>G211*G214*G213-G213</f>
        <v>0</v>
      </c>
      <c r="H215" s="3">
        <f>H211*H214*H213-H213</f>
        <v>0</v>
      </c>
      <c r="I215" s="3">
        <f>I211*I214*I213-I213</f>
        <v>0</v>
      </c>
      <c r="K215" s="3">
        <f>K211*K214*K213-K213</f>
        <v>0</v>
      </c>
      <c r="L215" s="3">
        <f>L211*L214*L213-L213</f>
        <v>0</v>
      </c>
      <c r="M215" s="3">
        <f>M211*M214*M213-M213</f>
        <v>0</v>
      </c>
    </row>
    <row r="217" spans="1:13">
      <c r="A217" s="1" t="s">
        <v>42</v>
      </c>
      <c r="C217" s="1" t="s">
        <v>1</v>
      </c>
      <c r="E217" s="1">
        <f>0+C224+D224+E224 + E208</f>
        <v>0</v>
      </c>
      <c r="G217" s="1" t="s">
        <v>2</v>
      </c>
      <c r="I217" s="1">
        <f>0+G224+H224+I224 + I208</f>
        <v>0</v>
      </c>
      <c r="K217" s="1" t="s">
        <v>3</v>
      </c>
      <c r="M217" s="1">
        <f>0+K224+L224+M224 + M208</f>
        <v>0</v>
      </c>
    </row>
    <row r="218" spans="1:13">
      <c r="A218" t="s">
        <v>46</v>
      </c>
      <c r="C218" s="2" t="s">
        <v>5</v>
      </c>
      <c r="D218" s="2" t="s">
        <v>6</v>
      </c>
      <c r="E218" s="2" t="s">
        <v>7</v>
      </c>
      <c r="G218" s="2" t="s">
        <v>8</v>
      </c>
      <c r="H218" s="2" t="s">
        <v>9</v>
      </c>
      <c r="I218" s="2" t="s">
        <v>10</v>
      </c>
      <c r="K218" s="2" t="s">
        <v>11</v>
      </c>
      <c r="L218" s="2" t="s">
        <v>12</v>
      </c>
      <c r="M218" s="2" t="s">
        <v>13</v>
      </c>
    </row>
    <row r="219" spans="1:13">
      <c r="A219" t="s">
        <v>14</v>
      </c>
      <c r="C219" s="3">
        <v>1.26</v>
      </c>
      <c r="D219" s="3">
        <v>23.582000000000001</v>
      </c>
      <c r="E219" s="3">
        <v>3.9630000000000001</v>
      </c>
      <c r="G219" s="3">
        <v>12.032999999999999</v>
      </c>
      <c r="H219" s="3">
        <v>1.637</v>
      </c>
      <c r="I219" s="3">
        <v>8.93</v>
      </c>
      <c r="K219" s="3">
        <v>2.206</v>
      </c>
      <c r="L219" s="3">
        <v>2.0310000000000001</v>
      </c>
      <c r="M219" s="3">
        <v>5.4349999999999996</v>
      </c>
    </row>
    <row r="220" spans="1:13">
      <c r="A220" t="s">
        <v>15</v>
      </c>
      <c r="C220" s="3">
        <v>0</v>
      </c>
      <c r="D220" s="3">
        <v>0</v>
      </c>
      <c r="E220" s="3">
        <v>0</v>
      </c>
      <c r="G220" s="3">
        <v>0</v>
      </c>
      <c r="H220" s="3">
        <v>0</v>
      </c>
      <c r="I220" s="3">
        <v>0</v>
      </c>
      <c r="K220" s="3">
        <v>0</v>
      </c>
      <c r="L220" s="3">
        <v>0</v>
      </c>
      <c r="M220" s="3">
        <v>0</v>
      </c>
    </row>
    <row r="221" spans="1:13">
      <c r="A221" t="s">
        <v>16</v>
      </c>
      <c r="C221" s="3">
        <f>C220/C219</f>
        <v>0</v>
      </c>
      <c r="D221" s="3">
        <f>D220/D219</f>
        <v>0</v>
      </c>
      <c r="E221" s="3">
        <f>E220/E219</f>
        <v>0</v>
      </c>
      <c r="G221" s="3">
        <f>G220/G219</f>
        <v>0</v>
      </c>
      <c r="H221" s="3">
        <f>H220/H219</f>
        <v>0</v>
      </c>
      <c r="I221" s="3">
        <f>I220/I219</f>
        <v>0</v>
      </c>
      <c r="K221" s="3">
        <f>K220/K219</f>
        <v>0</v>
      </c>
      <c r="L221" s="3">
        <f>L220/L219</f>
        <v>0</v>
      </c>
      <c r="M221" s="3">
        <f>M220/M219</f>
        <v>0</v>
      </c>
    </row>
    <row r="222" spans="1:13">
      <c r="A222" t="s">
        <v>17</v>
      </c>
      <c r="C222" s="3">
        <v>0</v>
      </c>
      <c r="D222" s="3">
        <v>0</v>
      </c>
      <c r="E222" s="3">
        <v>0</v>
      </c>
      <c r="G222" s="3">
        <v>0</v>
      </c>
      <c r="H222" s="3">
        <v>0</v>
      </c>
      <c r="I222" s="3">
        <v>0</v>
      </c>
      <c r="K222" s="3">
        <v>0</v>
      </c>
      <c r="L222" s="3">
        <v>0</v>
      </c>
      <c r="M222" s="3">
        <v>0</v>
      </c>
    </row>
    <row r="223" spans="1:13">
      <c r="A223" t="s">
        <v>18</v>
      </c>
      <c r="C223" s="3">
        <v>0</v>
      </c>
      <c r="D223" s="3">
        <v>0</v>
      </c>
      <c r="E223" s="3">
        <v>0</v>
      </c>
      <c r="G223" s="3">
        <v>0</v>
      </c>
      <c r="H223" s="3">
        <v>0</v>
      </c>
      <c r="I223" s="3">
        <v>0</v>
      </c>
      <c r="K223" s="3">
        <v>0</v>
      </c>
      <c r="L223" s="3">
        <v>0</v>
      </c>
      <c r="M223" s="3">
        <v>0</v>
      </c>
    </row>
    <row r="224" spans="1:13">
      <c r="A224" t="s">
        <v>19</v>
      </c>
      <c r="C224" s="3">
        <f>C220*C223*C222-C222</f>
        <v>0</v>
      </c>
      <c r="D224" s="3">
        <f>D220*D223*D222-D222</f>
        <v>0</v>
      </c>
      <c r="E224" s="3">
        <f>E220*E223*E222-E222</f>
        <v>0</v>
      </c>
      <c r="G224" s="3">
        <f>G220*G223*G222-G222</f>
        <v>0</v>
      </c>
      <c r="H224" s="3">
        <f>H220*H223*H222-H222</f>
        <v>0</v>
      </c>
      <c r="I224" s="3">
        <f>I220*I223*I222-I222</f>
        <v>0</v>
      </c>
      <c r="K224" s="3">
        <f>K220*K223*K222-K222</f>
        <v>0</v>
      </c>
      <c r="L224" s="3">
        <f>L220*L223*L222-L222</f>
        <v>0</v>
      </c>
      <c r="M224" s="3">
        <f>M220*M223*M222-M222</f>
        <v>0</v>
      </c>
    </row>
    <row r="226" spans="1:13">
      <c r="A226" s="1" t="s">
        <v>42</v>
      </c>
      <c r="C226" s="1" t="s">
        <v>1</v>
      </c>
      <c r="E226" s="1">
        <f>0+C233+D233+E233 + E217</f>
        <v>0</v>
      </c>
      <c r="G226" s="1" t="s">
        <v>2</v>
      </c>
      <c r="I226" s="1">
        <f>0+G233+H233+I233 + I217</f>
        <v>0</v>
      </c>
      <c r="K226" s="1" t="s">
        <v>3</v>
      </c>
      <c r="M226" s="1">
        <f>0+K233+L233+M233 + M217</f>
        <v>0</v>
      </c>
    </row>
    <row r="227" spans="1:13">
      <c r="A227" t="s">
        <v>47</v>
      </c>
      <c r="C227" s="2" t="s">
        <v>5</v>
      </c>
      <c r="D227" s="2" t="s">
        <v>6</v>
      </c>
      <c r="E227" s="2" t="s">
        <v>7</v>
      </c>
      <c r="G227" s="2" t="s">
        <v>8</v>
      </c>
      <c r="H227" s="2" t="s">
        <v>9</v>
      </c>
      <c r="I227" s="2" t="s">
        <v>10</v>
      </c>
      <c r="K227" s="2" t="s">
        <v>11</v>
      </c>
      <c r="L227" s="2" t="s">
        <v>12</v>
      </c>
      <c r="M227" s="2" t="s">
        <v>13</v>
      </c>
    </row>
    <row r="228" spans="1:13">
      <c r="A228" t="s">
        <v>14</v>
      </c>
      <c r="C228" s="3">
        <v>2.286</v>
      </c>
      <c r="D228" s="3">
        <v>3.37</v>
      </c>
      <c r="E228" s="3">
        <v>5.0970000000000004</v>
      </c>
      <c r="G228" s="3">
        <v>2.4449999999999998</v>
      </c>
      <c r="H228" s="3">
        <v>1.7709999999999999</v>
      </c>
      <c r="I228" s="3">
        <v>2.34</v>
      </c>
      <c r="K228" s="3">
        <v>4.1859999999999999</v>
      </c>
      <c r="L228" s="3">
        <v>1.2030000000000001</v>
      </c>
      <c r="M228" s="3">
        <v>6.1909999999999998</v>
      </c>
    </row>
    <row r="229" spans="1:13">
      <c r="A229" t="s">
        <v>15</v>
      </c>
      <c r="C229" s="3">
        <v>0</v>
      </c>
      <c r="D229" s="3">
        <v>0</v>
      </c>
      <c r="E229" s="3">
        <v>0</v>
      </c>
      <c r="G229" s="3">
        <v>0</v>
      </c>
      <c r="H229" s="3">
        <v>0</v>
      </c>
      <c r="I229" s="3">
        <v>0</v>
      </c>
      <c r="K229" s="3">
        <v>0</v>
      </c>
      <c r="L229" s="3">
        <v>0</v>
      </c>
      <c r="M229" s="3">
        <v>0</v>
      </c>
    </row>
    <row r="230" spans="1:13">
      <c r="A230" t="s">
        <v>16</v>
      </c>
      <c r="C230" s="3">
        <f>C229/C228</f>
        <v>0</v>
      </c>
      <c r="D230" s="3">
        <f>D229/D228</f>
        <v>0</v>
      </c>
      <c r="E230" s="3">
        <f>E229/E228</f>
        <v>0</v>
      </c>
      <c r="G230" s="3">
        <f>G229/G228</f>
        <v>0</v>
      </c>
      <c r="H230" s="3">
        <f>H229/H228</f>
        <v>0</v>
      </c>
      <c r="I230" s="3">
        <f>I229/I228</f>
        <v>0</v>
      </c>
      <c r="K230" s="3">
        <f>K229/K228</f>
        <v>0</v>
      </c>
      <c r="L230" s="3">
        <f>L229/L228</f>
        <v>0</v>
      </c>
      <c r="M230" s="3">
        <f>M229/M228</f>
        <v>0</v>
      </c>
    </row>
    <row r="231" spans="1:13">
      <c r="A231" t="s">
        <v>17</v>
      </c>
      <c r="C231" s="3">
        <v>0</v>
      </c>
      <c r="D231" s="3">
        <v>0</v>
      </c>
      <c r="E231" s="3">
        <v>0</v>
      </c>
      <c r="G231" s="3">
        <v>0</v>
      </c>
      <c r="H231" s="3">
        <v>0</v>
      </c>
      <c r="I231" s="3">
        <v>0</v>
      </c>
      <c r="K231" s="3">
        <v>0</v>
      </c>
      <c r="L231" s="3">
        <v>0</v>
      </c>
      <c r="M231" s="3">
        <v>0</v>
      </c>
    </row>
    <row r="232" spans="1:13">
      <c r="A232" t="s">
        <v>18</v>
      </c>
      <c r="C232" s="3">
        <v>0</v>
      </c>
      <c r="D232" s="3">
        <v>0</v>
      </c>
      <c r="E232" s="3">
        <v>0</v>
      </c>
      <c r="G232" s="3">
        <v>0</v>
      </c>
      <c r="H232" s="3">
        <v>0</v>
      </c>
      <c r="I232" s="3">
        <v>0</v>
      </c>
      <c r="K232" s="3">
        <v>0</v>
      </c>
      <c r="L232" s="3">
        <v>0</v>
      </c>
      <c r="M232" s="3">
        <v>0</v>
      </c>
    </row>
    <row r="233" spans="1:13">
      <c r="A233" t="s">
        <v>19</v>
      </c>
      <c r="C233" s="3">
        <f>C229*C232*C231-C231</f>
        <v>0</v>
      </c>
      <c r="D233" s="3">
        <f>D229*D232*D231-D231</f>
        <v>0</v>
      </c>
      <c r="E233" s="3">
        <f>E229*E232*E231-E231</f>
        <v>0</v>
      </c>
      <c r="G233" s="3">
        <f>G229*G232*G231-G231</f>
        <v>0</v>
      </c>
      <c r="H233" s="3">
        <f>H229*H232*H231-H231</f>
        <v>0</v>
      </c>
      <c r="I233" s="3">
        <f>I229*I232*I231-I231</f>
        <v>0</v>
      </c>
      <c r="K233" s="3">
        <f>K229*K232*K231-K231</f>
        <v>0</v>
      </c>
      <c r="L233" s="3">
        <f>L229*L232*L231-L231</f>
        <v>0</v>
      </c>
      <c r="M233" s="3">
        <f>M229*M232*M231-M231</f>
        <v>0</v>
      </c>
    </row>
    <row r="235" spans="1:13">
      <c r="A235" s="1" t="s">
        <v>42</v>
      </c>
      <c r="C235" s="1" t="s">
        <v>1</v>
      </c>
      <c r="E235" s="1">
        <f>0+C242+D242+E242 + E226</f>
        <v>0</v>
      </c>
      <c r="G235" s="1" t="s">
        <v>2</v>
      </c>
      <c r="I235" s="1">
        <f>0+G242+H242+I242 + I226</f>
        <v>0</v>
      </c>
      <c r="K235" s="1" t="s">
        <v>3</v>
      </c>
      <c r="M235" s="1">
        <f>0+K242+L242+M242 + M226</f>
        <v>0</v>
      </c>
    </row>
    <row r="236" spans="1:13">
      <c r="A236" t="s">
        <v>48</v>
      </c>
      <c r="C236" s="2" t="s">
        <v>5</v>
      </c>
      <c r="D236" s="2" t="s">
        <v>6</v>
      </c>
      <c r="E236" s="2" t="s">
        <v>7</v>
      </c>
      <c r="G236" s="2" t="s">
        <v>8</v>
      </c>
      <c r="H236" s="2" t="s">
        <v>9</v>
      </c>
      <c r="I236" s="2" t="s">
        <v>10</v>
      </c>
      <c r="K236" s="2" t="s">
        <v>11</v>
      </c>
      <c r="L236" s="2" t="s">
        <v>12</v>
      </c>
      <c r="M236" s="2" t="s">
        <v>13</v>
      </c>
    </row>
    <row r="237" spans="1:13">
      <c r="A237" t="s">
        <v>14</v>
      </c>
      <c r="C237" s="3">
        <v>2.746</v>
      </c>
      <c r="D237" s="3">
        <v>3.9180000000000001</v>
      </c>
      <c r="E237" s="3">
        <v>4.4409999999999998</v>
      </c>
      <c r="G237" s="3">
        <v>2.8149999999999999</v>
      </c>
      <c r="H237" s="3">
        <v>5.5220000000000002</v>
      </c>
      <c r="I237" s="3">
        <v>4.7080000000000002</v>
      </c>
      <c r="K237" s="3">
        <v>11.425000000000001</v>
      </c>
      <c r="L237" s="3">
        <v>4.9349999999999996</v>
      </c>
      <c r="M237" s="3">
        <v>3.8290000000000002</v>
      </c>
    </row>
    <row r="238" spans="1:13">
      <c r="A238" t="s">
        <v>15</v>
      </c>
      <c r="C238" s="3">
        <v>0</v>
      </c>
      <c r="D238" s="3">
        <v>0</v>
      </c>
      <c r="E238" s="3">
        <v>0</v>
      </c>
      <c r="G238" s="3">
        <v>0</v>
      </c>
      <c r="H238" s="3">
        <v>0</v>
      </c>
      <c r="I238" s="3">
        <v>0</v>
      </c>
      <c r="K238" s="3">
        <v>0</v>
      </c>
      <c r="L238" s="3">
        <v>0</v>
      </c>
      <c r="M238" s="3">
        <v>0</v>
      </c>
    </row>
    <row r="239" spans="1:13">
      <c r="A239" t="s">
        <v>16</v>
      </c>
      <c r="C239" s="3">
        <f>C238/C237</f>
        <v>0</v>
      </c>
      <c r="D239" s="3">
        <f>D238/D237</f>
        <v>0</v>
      </c>
      <c r="E239" s="3">
        <f>E238/E237</f>
        <v>0</v>
      </c>
      <c r="G239" s="3">
        <f>G238/G237</f>
        <v>0</v>
      </c>
      <c r="H239" s="3">
        <f>H238/H237</f>
        <v>0</v>
      </c>
      <c r="I239" s="3">
        <f>I238/I237</f>
        <v>0</v>
      </c>
      <c r="K239" s="3">
        <f>K238/K237</f>
        <v>0</v>
      </c>
      <c r="L239" s="3">
        <f>L238/L237</f>
        <v>0</v>
      </c>
      <c r="M239" s="3">
        <f>M238/M237</f>
        <v>0</v>
      </c>
    </row>
    <row r="240" spans="1:13">
      <c r="A240" t="s">
        <v>17</v>
      </c>
      <c r="C240" s="3">
        <v>0</v>
      </c>
      <c r="D240" s="3">
        <v>0</v>
      </c>
      <c r="E240" s="3">
        <v>0</v>
      </c>
      <c r="G240" s="3">
        <v>0</v>
      </c>
      <c r="H240" s="3">
        <v>0</v>
      </c>
      <c r="I240" s="3">
        <v>0</v>
      </c>
      <c r="K240" s="3">
        <v>0</v>
      </c>
      <c r="L240" s="3">
        <v>0</v>
      </c>
      <c r="M240" s="3">
        <v>0</v>
      </c>
    </row>
    <row r="241" spans="1:13">
      <c r="A241" t="s">
        <v>18</v>
      </c>
      <c r="C241" s="3">
        <v>0</v>
      </c>
      <c r="D241" s="3">
        <v>0</v>
      </c>
      <c r="E241" s="3">
        <v>0</v>
      </c>
      <c r="G241" s="3">
        <v>0</v>
      </c>
      <c r="H241" s="3">
        <v>0</v>
      </c>
      <c r="I241" s="3">
        <v>0</v>
      </c>
      <c r="K241" s="3">
        <v>0</v>
      </c>
      <c r="L241" s="3">
        <v>0</v>
      </c>
      <c r="M241" s="3">
        <v>0</v>
      </c>
    </row>
    <row r="242" spans="1:13">
      <c r="A242" t="s">
        <v>19</v>
      </c>
      <c r="C242" s="3">
        <f>C238*C241*C240-C240</f>
        <v>0</v>
      </c>
      <c r="D242" s="3">
        <f>D238*D241*D240-D240</f>
        <v>0</v>
      </c>
      <c r="E242" s="3">
        <f>E238*E241*E240-E240</f>
        <v>0</v>
      </c>
      <c r="G242" s="3">
        <f>G238*G241*G240-G240</f>
        <v>0</v>
      </c>
      <c r="H242" s="3">
        <f>H238*H241*H240-H240</f>
        <v>0</v>
      </c>
      <c r="I242" s="3">
        <f>I238*I241*I240-I240</f>
        <v>0</v>
      </c>
      <c r="K242" s="3">
        <f>K238*K241*K240-K240</f>
        <v>0</v>
      </c>
      <c r="L242" s="3">
        <f>L238*L241*L240-L240</f>
        <v>0</v>
      </c>
      <c r="M242" s="3">
        <f>M238*M241*M240-M240</f>
        <v>0</v>
      </c>
    </row>
    <row r="244" spans="1:13">
      <c r="A244" s="1" t="s">
        <v>49</v>
      </c>
      <c r="C244" s="1" t="s">
        <v>1</v>
      </c>
      <c r="E244" s="1">
        <f>0+C251+D251+E251 + E235</f>
        <v>0</v>
      </c>
      <c r="G244" s="1" t="s">
        <v>2</v>
      </c>
      <c r="I244" s="1">
        <f>0+G251+H251+I251 + I235</f>
        <v>0</v>
      </c>
      <c r="K244" s="1" t="s">
        <v>3</v>
      </c>
      <c r="M244" s="1">
        <f>0+K251+L251+M251 + M235</f>
        <v>0</v>
      </c>
    </row>
    <row r="245" spans="1:13">
      <c r="A245" t="s">
        <v>50</v>
      </c>
      <c r="C245" s="2" t="s">
        <v>5</v>
      </c>
      <c r="D245" s="2" t="s">
        <v>6</v>
      </c>
      <c r="E245" s="2" t="s">
        <v>7</v>
      </c>
      <c r="G245" s="2" t="s">
        <v>8</v>
      </c>
      <c r="H245" s="2" t="s">
        <v>9</v>
      </c>
      <c r="I245" s="2" t="s">
        <v>10</v>
      </c>
      <c r="K245" s="2" t="s">
        <v>11</v>
      </c>
      <c r="L245" s="2" t="s">
        <v>12</v>
      </c>
      <c r="M245" s="2" t="s">
        <v>13</v>
      </c>
    </row>
    <row r="246" spans="1:13">
      <c r="A246" t="s">
        <v>14</v>
      </c>
      <c r="C246" s="3">
        <v>9.4689999999999994</v>
      </c>
      <c r="D246" s="3">
        <v>5.5659999999999998</v>
      </c>
      <c r="E246" s="3">
        <v>3.2290000000000001</v>
      </c>
      <c r="G246" s="3">
        <v>13.243</v>
      </c>
      <c r="H246" s="3">
        <v>3.226</v>
      </c>
      <c r="I246" s="3">
        <v>4.2569999999999997</v>
      </c>
      <c r="K246" s="3">
        <v>3.887</v>
      </c>
      <c r="L246" s="3">
        <v>2.23</v>
      </c>
      <c r="M246" s="3">
        <v>3.0710000000000002</v>
      </c>
    </row>
    <row r="247" spans="1:13">
      <c r="A247" t="s">
        <v>15</v>
      </c>
      <c r="C247" s="3">
        <v>0</v>
      </c>
      <c r="D247" s="3">
        <v>0</v>
      </c>
      <c r="E247" s="3">
        <v>0</v>
      </c>
      <c r="G247" s="3">
        <v>0</v>
      </c>
      <c r="H247" s="3">
        <v>0</v>
      </c>
      <c r="I247" s="3">
        <v>0</v>
      </c>
      <c r="K247" s="3">
        <v>0</v>
      </c>
      <c r="L247" s="3">
        <v>0</v>
      </c>
      <c r="M247" s="3">
        <v>0</v>
      </c>
    </row>
    <row r="248" spans="1:13">
      <c r="A248" t="s">
        <v>16</v>
      </c>
      <c r="C248" s="3">
        <f>C247/C246</f>
        <v>0</v>
      </c>
      <c r="D248" s="3">
        <f>D247/D246</f>
        <v>0</v>
      </c>
      <c r="E248" s="3">
        <f>E247/E246</f>
        <v>0</v>
      </c>
      <c r="G248" s="3">
        <f>G247/G246</f>
        <v>0</v>
      </c>
      <c r="H248" s="3">
        <f>H247/H246</f>
        <v>0</v>
      </c>
      <c r="I248" s="3">
        <f>I247/I246</f>
        <v>0</v>
      </c>
      <c r="K248" s="3">
        <f>K247/K246</f>
        <v>0</v>
      </c>
      <c r="L248" s="3">
        <f>L247/L246</f>
        <v>0</v>
      </c>
      <c r="M248" s="3">
        <f>M247/M246</f>
        <v>0</v>
      </c>
    </row>
    <row r="249" spans="1:13">
      <c r="A249" t="s">
        <v>17</v>
      </c>
      <c r="C249" s="3">
        <v>0</v>
      </c>
      <c r="D249" s="3">
        <v>0</v>
      </c>
      <c r="E249" s="3">
        <v>0</v>
      </c>
      <c r="G249" s="3">
        <v>0</v>
      </c>
      <c r="H249" s="3">
        <v>0</v>
      </c>
      <c r="I249" s="3">
        <v>0</v>
      </c>
      <c r="K249" s="3">
        <v>0</v>
      </c>
      <c r="L249" s="3">
        <v>0</v>
      </c>
      <c r="M249" s="3">
        <v>0</v>
      </c>
    </row>
    <row r="250" spans="1:13">
      <c r="A250" t="s">
        <v>18</v>
      </c>
      <c r="C250" s="3">
        <v>0</v>
      </c>
      <c r="D250" s="3">
        <v>0</v>
      </c>
      <c r="E250" s="3">
        <v>0</v>
      </c>
      <c r="G250" s="3">
        <v>0</v>
      </c>
      <c r="H250" s="3">
        <v>0</v>
      </c>
      <c r="I250" s="3">
        <v>0</v>
      </c>
      <c r="K250" s="3">
        <v>0</v>
      </c>
      <c r="L250" s="3">
        <v>0</v>
      </c>
      <c r="M250" s="3">
        <v>0</v>
      </c>
    </row>
    <row r="251" spans="1:13">
      <c r="A251" t="s">
        <v>19</v>
      </c>
      <c r="C251" s="3">
        <f>C247*C250*C249-C249</f>
        <v>0</v>
      </c>
      <c r="D251" s="3">
        <f>D247*D250*D249-D249</f>
        <v>0</v>
      </c>
      <c r="E251" s="3">
        <f>E247*E250*E249-E249</f>
        <v>0</v>
      </c>
      <c r="G251" s="3">
        <f>G247*G250*G249-G249</f>
        <v>0</v>
      </c>
      <c r="H251" s="3">
        <f>H247*H250*H249-H249</f>
        <v>0</v>
      </c>
      <c r="I251" s="3">
        <f>I247*I250*I249-I249</f>
        <v>0</v>
      </c>
      <c r="K251" s="3">
        <f>K247*K250*K249-K249</f>
        <v>0</v>
      </c>
      <c r="L251" s="3">
        <f>L247*L250*L249-L249</f>
        <v>0</v>
      </c>
      <c r="M251" s="3">
        <f>M247*M250*M249-M249</f>
        <v>0</v>
      </c>
    </row>
    <row r="253" spans="1:13">
      <c r="A253" s="1" t="s">
        <v>49</v>
      </c>
      <c r="C253" s="1" t="s">
        <v>1</v>
      </c>
      <c r="E253" s="1">
        <f>0+C260+D260+E260 + E244</f>
        <v>0</v>
      </c>
      <c r="G253" s="1" t="s">
        <v>2</v>
      </c>
      <c r="I253" s="1">
        <f>0+G260+H260+I260 + I244</f>
        <v>0</v>
      </c>
      <c r="K253" s="1" t="s">
        <v>3</v>
      </c>
      <c r="M253" s="1">
        <f>0+K260+L260+M260 + M244</f>
        <v>0</v>
      </c>
    </row>
    <row r="254" spans="1:13">
      <c r="A254" t="s">
        <v>51</v>
      </c>
      <c r="C254" s="2" t="s">
        <v>5</v>
      </c>
      <c r="D254" s="2" t="s">
        <v>6</v>
      </c>
      <c r="E254" s="2" t="s">
        <v>7</v>
      </c>
      <c r="G254" s="2" t="s">
        <v>8</v>
      </c>
      <c r="H254" s="2" t="s">
        <v>9</v>
      </c>
      <c r="I254" s="2" t="s">
        <v>10</v>
      </c>
      <c r="K254" s="2" t="s">
        <v>11</v>
      </c>
      <c r="L254" s="2" t="s">
        <v>12</v>
      </c>
      <c r="M254" s="2" t="s">
        <v>13</v>
      </c>
    </row>
    <row r="255" spans="1:13">
      <c r="A255" t="s">
        <v>14</v>
      </c>
      <c r="C255" s="3">
        <v>1.3939999999999999</v>
      </c>
      <c r="D255" s="3">
        <v>4.6710000000000003</v>
      </c>
      <c r="E255" s="3">
        <v>9.9640000000000004</v>
      </c>
      <c r="G255" s="3">
        <v>1.927</v>
      </c>
      <c r="H255" s="3">
        <v>2.88</v>
      </c>
      <c r="I255" s="3">
        <v>4.476</v>
      </c>
      <c r="K255" s="3">
        <v>3.0609999999999999</v>
      </c>
      <c r="L255" s="3">
        <v>1.956</v>
      </c>
      <c r="M255" s="3">
        <v>45.860999999999997</v>
      </c>
    </row>
    <row r="256" spans="1:13">
      <c r="A256" t="s">
        <v>15</v>
      </c>
      <c r="C256" s="3">
        <v>0</v>
      </c>
      <c r="D256" s="3">
        <v>0</v>
      </c>
      <c r="E256" s="3">
        <v>0</v>
      </c>
      <c r="G256" s="3">
        <v>0</v>
      </c>
      <c r="H256" s="3">
        <v>0</v>
      </c>
      <c r="I256" s="3">
        <v>0</v>
      </c>
      <c r="K256" s="3">
        <v>0</v>
      </c>
      <c r="L256" s="3">
        <v>0</v>
      </c>
      <c r="M256" s="3">
        <v>0</v>
      </c>
    </row>
    <row r="257" spans="1:13">
      <c r="A257" t="s">
        <v>16</v>
      </c>
      <c r="C257" s="3">
        <f>C256/C255</f>
        <v>0</v>
      </c>
      <c r="D257" s="3">
        <f>D256/D255</f>
        <v>0</v>
      </c>
      <c r="E257" s="3">
        <f>E256/E255</f>
        <v>0</v>
      </c>
      <c r="G257" s="3">
        <f>G256/G255</f>
        <v>0</v>
      </c>
      <c r="H257" s="3">
        <f>H256/H255</f>
        <v>0</v>
      </c>
      <c r="I257" s="3">
        <f>I256/I255</f>
        <v>0</v>
      </c>
      <c r="K257" s="3">
        <f>K256/K255</f>
        <v>0</v>
      </c>
      <c r="L257" s="3">
        <f>L256/L255</f>
        <v>0</v>
      </c>
      <c r="M257" s="3">
        <f>M256/M255</f>
        <v>0</v>
      </c>
    </row>
    <row r="258" spans="1:13">
      <c r="A258" t="s">
        <v>17</v>
      </c>
      <c r="C258" s="3">
        <v>0</v>
      </c>
      <c r="D258" s="3">
        <v>0</v>
      </c>
      <c r="E258" s="3">
        <v>0</v>
      </c>
      <c r="G258" s="3">
        <v>0</v>
      </c>
      <c r="H258" s="3">
        <v>0</v>
      </c>
      <c r="I258" s="3">
        <v>0</v>
      </c>
      <c r="K258" s="3">
        <v>0</v>
      </c>
      <c r="L258" s="3">
        <v>0</v>
      </c>
      <c r="M258" s="3">
        <v>0</v>
      </c>
    </row>
    <row r="259" spans="1:13">
      <c r="A259" t="s">
        <v>18</v>
      </c>
      <c r="C259" s="3">
        <v>0</v>
      </c>
      <c r="D259" s="3">
        <v>0</v>
      </c>
      <c r="E259" s="3">
        <v>0</v>
      </c>
      <c r="G259" s="3">
        <v>0</v>
      </c>
      <c r="H259" s="3">
        <v>0</v>
      </c>
      <c r="I259" s="3">
        <v>0</v>
      </c>
      <c r="K259" s="3">
        <v>0</v>
      </c>
      <c r="L259" s="3">
        <v>0</v>
      </c>
      <c r="M259" s="3">
        <v>0</v>
      </c>
    </row>
    <row r="260" spans="1:13">
      <c r="A260" t="s">
        <v>19</v>
      </c>
      <c r="C260" s="3">
        <f>C256*C259*C258-C258</f>
        <v>0</v>
      </c>
      <c r="D260" s="3">
        <f>D256*D259*D258-D258</f>
        <v>0</v>
      </c>
      <c r="E260" s="3">
        <f>E256*E259*E258-E258</f>
        <v>0</v>
      </c>
      <c r="G260" s="3">
        <f>G256*G259*G258-G258</f>
        <v>0</v>
      </c>
      <c r="H260" s="3">
        <f>H256*H259*H258-H258</f>
        <v>0</v>
      </c>
      <c r="I260" s="3">
        <f>I256*I259*I258-I258</f>
        <v>0</v>
      </c>
      <c r="K260" s="3">
        <f>K256*K259*K258-K258</f>
        <v>0</v>
      </c>
      <c r="L260" s="3">
        <f>L256*L259*L258-L258</f>
        <v>0</v>
      </c>
      <c r="M260" s="3">
        <f>M256*M259*M258-M258</f>
        <v>0</v>
      </c>
    </row>
    <row r="262" spans="1:13">
      <c r="A262" s="1" t="s">
        <v>49</v>
      </c>
      <c r="C262" s="1" t="s">
        <v>1</v>
      </c>
      <c r="E262" s="1">
        <f>0+C269+D269+E269 + E253</f>
        <v>0</v>
      </c>
      <c r="G262" s="1" t="s">
        <v>2</v>
      </c>
      <c r="I262" s="1">
        <f>0+G269+H269+I269 + I253</f>
        <v>0</v>
      </c>
      <c r="K262" s="1" t="s">
        <v>3</v>
      </c>
      <c r="M262" s="1">
        <f>0+K269+L269+M269 + M253</f>
        <v>0</v>
      </c>
    </row>
    <row r="263" spans="1:13">
      <c r="A263" t="s">
        <v>52</v>
      </c>
      <c r="C263" s="2" t="s">
        <v>5</v>
      </c>
      <c r="D263" s="2" t="s">
        <v>6</v>
      </c>
      <c r="E263" s="2" t="s">
        <v>7</v>
      </c>
      <c r="G263" s="2" t="s">
        <v>8</v>
      </c>
      <c r="H263" s="2" t="s">
        <v>9</v>
      </c>
      <c r="I263" s="2" t="s">
        <v>10</v>
      </c>
      <c r="K263" s="2" t="s">
        <v>11</v>
      </c>
      <c r="L263" s="2" t="s">
        <v>12</v>
      </c>
      <c r="M263" s="2" t="s">
        <v>13</v>
      </c>
    </row>
    <row r="264" spans="1:13">
      <c r="A264" t="s">
        <v>14</v>
      </c>
      <c r="C264" s="3">
        <v>21.472999999999999</v>
      </c>
      <c r="D264" s="3">
        <v>1.591</v>
      </c>
      <c r="E264" s="3">
        <v>1.9570000000000001</v>
      </c>
      <c r="G264" s="3">
        <v>15.164</v>
      </c>
      <c r="H264" s="3">
        <v>1.5229999999999999</v>
      </c>
      <c r="I264" s="3">
        <v>16.576000000000001</v>
      </c>
      <c r="K264" s="3">
        <v>7.383</v>
      </c>
      <c r="L264" s="3">
        <v>4.8899999999999997</v>
      </c>
      <c r="M264" s="3">
        <v>173.96199999999999</v>
      </c>
    </row>
    <row r="265" spans="1:13">
      <c r="A265" t="s">
        <v>15</v>
      </c>
      <c r="C265" s="3">
        <v>0</v>
      </c>
      <c r="D265" s="3">
        <v>0</v>
      </c>
      <c r="E265" s="3">
        <v>0</v>
      </c>
      <c r="G265" s="3">
        <v>0</v>
      </c>
      <c r="H265" s="3">
        <v>0</v>
      </c>
      <c r="I265" s="3">
        <v>0</v>
      </c>
      <c r="K265" s="3">
        <v>0</v>
      </c>
      <c r="L265" s="3">
        <v>0</v>
      </c>
      <c r="M265" s="3">
        <v>0</v>
      </c>
    </row>
    <row r="266" spans="1:13">
      <c r="A266" t="s">
        <v>16</v>
      </c>
      <c r="C266" s="3">
        <f>C265/C264</f>
        <v>0</v>
      </c>
      <c r="D266" s="3">
        <f>D265/D264</f>
        <v>0</v>
      </c>
      <c r="E266" s="3">
        <f>E265/E264</f>
        <v>0</v>
      </c>
      <c r="G266" s="3">
        <f>G265/G264</f>
        <v>0</v>
      </c>
      <c r="H266" s="3">
        <f>H265/H264</f>
        <v>0</v>
      </c>
      <c r="I266" s="3">
        <f>I265/I264</f>
        <v>0</v>
      </c>
      <c r="K266" s="3">
        <f>K265/K264</f>
        <v>0</v>
      </c>
      <c r="L266" s="3">
        <f>L265/L264</f>
        <v>0</v>
      </c>
      <c r="M266" s="3">
        <f>M265/M264</f>
        <v>0</v>
      </c>
    </row>
    <row r="267" spans="1:13">
      <c r="A267" t="s">
        <v>17</v>
      </c>
      <c r="C267" s="3">
        <v>0</v>
      </c>
      <c r="D267" s="3">
        <v>0</v>
      </c>
      <c r="E267" s="3">
        <v>0</v>
      </c>
      <c r="G267" s="3">
        <v>0</v>
      </c>
      <c r="H267" s="3">
        <v>0</v>
      </c>
      <c r="I267" s="3">
        <v>0</v>
      </c>
      <c r="K267" s="3">
        <v>0</v>
      </c>
      <c r="L267" s="3">
        <v>0</v>
      </c>
      <c r="M267" s="3">
        <v>0</v>
      </c>
    </row>
    <row r="268" spans="1:13">
      <c r="A268" t="s">
        <v>18</v>
      </c>
      <c r="C268" s="3">
        <v>0</v>
      </c>
      <c r="D268" s="3">
        <v>0</v>
      </c>
      <c r="E268" s="3">
        <v>0</v>
      </c>
      <c r="G268" s="3">
        <v>0</v>
      </c>
      <c r="H268" s="3">
        <v>0</v>
      </c>
      <c r="I268" s="3">
        <v>0</v>
      </c>
      <c r="K268" s="3">
        <v>0</v>
      </c>
      <c r="L268" s="3">
        <v>0</v>
      </c>
      <c r="M268" s="3">
        <v>0</v>
      </c>
    </row>
    <row r="269" spans="1:13">
      <c r="A269" t="s">
        <v>19</v>
      </c>
      <c r="C269" s="3">
        <f>C265*C268*C267-C267</f>
        <v>0</v>
      </c>
      <c r="D269" s="3">
        <f>D265*D268*D267-D267</f>
        <v>0</v>
      </c>
      <c r="E269" s="3">
        <f>E265*E268*E267-E267</f>
        <v>0</v>
      </c>
      <c r="G269" s="3">
        <f>G265*G268*G267-G267</f>
        <v>0</v>
      </c>
      <c r="H269" s="3">
        <f>H265*H268*H267-H267</f>
        <v>0</v>
      </c>
      <c r="I269" s="3">
        <f>I265*I268*I267-I267</f>
        <v>0</v>
      </c>
      <c r="K269" s="3">
        <f>K265*K268*K267-K267</f>
        <v>0</v>
      </c>
      <c r="L269" s="3">
        <f>L265*L268*L267-L267</f>
        <v>0</v>
      </c>
      <c r="M269" s="3">
        <f>M265*M268*M267-M267</f>
        <v>0</v>
      </c>
    </row>
    <row r="271" spans="1:13">
      <c r="A271" s="1" t="s">
        <v>49</v>
      </c>
      <c r="C271" s="1" t="s">
        <v>1</v>
      </c>
      <c r="E271" s="1">
        <f>0+C278+D278+E278 + E262</f>
        <v>0</v>
      </c>
      <c r="G271" s="1" t="s">
        <v>2</v>
      </c>
      <c r="I271" s="1">
        <f>0+G278+H278+I278 + I262</f>
        <v>0</v>
      </c>
      <c r="K271" s="1" t="s">
        <v>3</v>
      </c>
      <c r="M271" s="1">
        <f>0+K278+L278+M278 + M262</f>
        <v>0</v>
      </c>
    </row>
    <row r="272" spans="1:13">
      <c r="A272" t="s">
        <v>53</v>
      </c>
      <c r="C272" s="2" t="s">
        <v>5</v>
      </c>
      <c r="D272" s="2" t="s">
        <v>6</v>
      </c>
      <c r="E272" s="2" t="s">
        <v>7</v>
      </c>
      <c r="G272" s="2" t="s">
        <v>8</v>
      </c>
      <c r="H272" s="2" t="s">
        <v>9</v>
      </c>
      <c r="I272" s="2" t="s">
        <v>10</v>
      </c>
      <c r="K272" s="2" t="s">
        <v>11</v>
      </c>
      <c r="L272" s="2" t="s">
        <v>12</v>
      </c>
      <c r="M272" s="2" t="s">
        <v>13</v>
      </c>
    </row>
    <row r="273" spans="1:13">
      <c r="A273" t="s">
        <v>14</v>
      </c>
      <c r="C273" s="3">
        <v>2.2360000000000002</v>
      </c>
      <c r="D273" s="3">
        <v>6.9809999999999999</v>
      </c>
      <c r="E273" s="3">
        <v>2.3719999999999999</v>
      </c>
      <c r="G273" s="3">
        <v>1.931</v>
      </c>
      <c r="H273" s="3">
        <v>1.6140000000000001</v>
      </c>
      <c r="I273" s="3">
        <v>5.0069999999999997</v>
      </c>
      <c r="K273" s="3">
        <v>2.76</v>
      </c>
      <c r="L273" s="3">
        <v>3.9060000000000001</v>
      </c>
      <c r="M273" s="3">
        <v>2.976</v>
      </c>
    </row>
    <row r="274" spans="1:13">
      <c r="A274" t="s">
        <v>15</v>
      </c>
      <c r="C274" s="3">
        <v>0</v>
      </c>
      <c r="D274" s="3">
        <v>0</v>
      </c>
      <c r="E274" s="3">
        <v>0</v>
      </c>
      <c r="G274" s="3">
        <v>0</v>
      </c>
      <c r="H274" s="3">
        <v>0</v>
      </c>
      <c r="I274" s="3">
        <v>0</v>
      </c>
      <c r="K274" s="3">
        <v>0</v>
      </c>
      <c r="L274" s="3">
        <v>0</v>
      </c>
      <c r="M274" s="3">
        <v>0</v>
      </c>
    </row>
    <row r="275" spans="1:13">
      <c r="A275" t="s">
        <v>16</v>
      </c>
      <c r="C275" s="3">
        <f>C274/C273</f>
        <v>0</v>
      </c>
      <c r="D275" s="3">
        <f>D274/D273</f>
        <v>0</v>
      </c>
      <c r="E275" s="3">
        <f>E274/E273</f>
        <v>0</v>
      </c>
      <c r="G275" s="3">
        <f>G274/G273</f>
        <v>0</v>
      </c>
      <c r="H275" s="3">
        <f>H274/H273</f>
        <v>0</v>
      </c>
      <c r="I275" s="3">
        <f>I274/I273</f>
        <v>0</v>
      </c>
      <c r="K275" s="3">
        <f>K274/K273</f>
        <v>0</v>
      </c>
      <c r="L275" s="3">
        <f>L274/L273</f>
        <v>0</v>
      </c>
      <c r="M275" s="3">
        <f>M274/M273</f>
        <v>0</v>
      </c>
    </row>
    <row r="276" spans="1:13">
      <c r="A276" t="s">
        <v>17</v>
      </c>
      <c r="C276" s="3">
        <v>0</v>
      </c>
      <c r="D276" s="3">
        <v>0</v>
      </c>
      <c r="E276" s="3">
        <v>0</v>
      </c>
      <c r="G276" s="3">
        <v>0</v>
      </c>
      <c r="H276" s="3">
        <v>0</v>
      </c>
      <c r="I276" s="3">
        <v>0</v>
      </c>
      <c r="K276" s="3">
        <v>0</v>
      </c>
      <c r="L276" s="3">
        <v>0</v>
      </c>
      <c r="M276" s="3">
        <v>0</v>
      </c>
    </row>
    <row r="277" spans="1:13">
      <c r="A277" t="s">
        <v>18</v>
      </c>
      <c r="C277" s="3">
        <v>0</v>
      </c>
      <c r="D277" s="3">
        <v>0</v>
      </c>
      <c r="E277" s="3">
        <v>0</v>
      </c>
      <c r="G277" s="3">
        <v>0</v>
      </c>
      <c r="H277" s="3">
        <v>0</v>
      </c>
      <c r="I277" s="3">
        <v>0</v>
      </c>
      <c r="K277" s="3">
        <v>0</v>
      </c>
      <c r="L277" s="3">
        <v>0</v>
      </c>
      <c r="M277" s="3">
        <v>0</v>
      </c>
    </row>
    <row r="278" spans="1:13">
      <c r="A278" t="s">
        <v>19</v>
      </c>
      <c r="C278" s="3">
        <f>C274*C277*C276-C276</f>
        <v>0</v>
      </c>
      <c r="D278" s="3">
        <f>D274*D277*D276-D276</f>
        <v>0</v>
      </c>
      <c r="E278" s="3">
        <f>E274*E277*E276-E276</f>
        <v>0</v>
      </c>
      <c r="G278" s="3">
        <f>G274*G277*G276-G276</f>
        <v>0</v>
      </c>
      <c r="H278" s="3">
        <f>H274*H277*H276-H276</f>
        <v>0</v>
      </c>
      <c r="I278" s="3">
        <f>I274*I277*I276-I276</f>
        <v>0</v>
      </c>
      <c r="K278" s="3">
        <f>K274*K277*K276-K276</f>
        <v>0</v>
      </c>
      <c r="L278" s="3">
        <f>L274*L277*L276-L276</f>
        <v>0</v>
      </c>
      <c r="M278" s="3">
        <f>M274*M277*M276-M276</f>
        <v>0</v>
      </c>
    </row>
    <row r="280" spans="1:13">
      <c r="A280" s="1" t="s">
        <v>49</v>
      </c>
      <c r="C280" s="1" t="s">
        <v>1</v>
      </c>
      <c r="E280" s="1">
        <f>0+C287+D287+E287 + E271</f>
        <v>0</v>
      </c>
      <c r="G280" s="1" t="s">
        <v>2</v>
      </c>
      <c r="I280" s="1">
        <f>0+G287+H287+I287 + I271</f>
        <v>0</v>
      </c>
      <c r="K280" s="1" t="s">
        <v>3</v>
      </c>
      <c r="M280" s="1">
        <f>0+K287+L287+M287 + M271</f>
        <v>0</v>
      </c>
    </row>
    <row r="281" spans="1:13">
      <c r="A281" t="s">
        <v>54</v>
      </c>
      <c r="C281" s="2" t="s">
        <v>5</v>
      </c>
      <c r="D281" s="2" t="s">
        <v>6</v>
      </c>
      <c r="E281" s="2" t="s">
        <v>7</v>
      </c>
      <c r="G281" s="2" t="s">
        <v>8</v>
      </c>
      <c r="H281" s="2" t="s">
        <v>9</v>
      </c>
      <c r="I281" s="2" t="s">
        <v>10</v>
      </c>
      <c r="K281" s="2" t="s">
        <v>11</v>
      </c>
      <c r="L281" s="2" t="s">
        <v>12</v>
      </c>
      <c r="M281" s="2" t="s">
        <v>13</v>
      </c>
    </row>
    <row r="282" spans="1:13">
      <c r="A282" t="s">
        <v>14</v>
      </c>
      <c r="C282" s="3">
        <v>5.7880000000000003</v>
      </c>
      <c r="D282" s="3">
        <v>3.4830000000000001</v>
      </c>
      <c r="E282" s="3">
        <v>1.7869999999999999</v>
      </c>
      <c r="G282" s="3">
        <v>7.9619999999999997</v>
      </c>
      <c r="H282" s="3">
        <v>5.2919999999999998</v>
      </c>
      <c r="I282" s="3">
        <v>1.5389999999999999</v>
      </c>
      <c r="K282" s="3">
        <v>19.88</v>
      </c>
      <c r="L282" s="3">
        <v>1.679</v>
      </c>
      <c r="M282" s="3">
        <v>32.39</v>
      </c>
    </row>
    <row r="283" spans="1:13">
      <c r="A283" t="s">
        <v>15</v>
      </c>
      <c r="C283" s="3">
        <v>0</v>
      </c>
      <c r="D283" s="3">
        <v>0</v>
      </c>
      <c r="E283" s="3">
        <v>0</v>
      </c>
      <c r="G283" s="3">
        <v>0</v>
      </c>
      <c r="H283" s="3">
        <v>0</v>
      </c>
      <c r="I283" s="3">
        <v>0</v>
      </c>
      <c r="K283" s="3">
        <v>0</v>
      </c>
      <c r="L283" s="3">
        <v>0</v>
      </c>
      <c r="M283" s="3">
        <v>0</v>
      </c>
    </row>
    <row r="284" spans="1:13">
      <c r="A284" t="s">
        <v>16</v>
      </c>
      <c r="C284" s="3">
        <f>C283/C282</f>
        <v>0</v>
      </c>
      <c r="D284" s="3">
        <f>D283/D282</f>
        <v>0</v>
      </c>
      <c r="E284" s="3">
        <f>E283/E282</f>
        <v>0</v>
      </c>
      <c r="G284" s="3">
        <f>G283/G282</f>
        <v>0</v>
      </c>
      <c r="H284" s="3">
        <f>H283/H282</f>
        <v>0</v>
      </c>
      <c r="I284" s="3">
        <f>I283/I282</f>
        <v>0</v>
      </c>
      <c r="K284" s="3">
        <f>K283/K282</f>
        <v>0</v>
      </c>
      <c r="L284" s="3">
        <f>L283/L282</f>
        <v>0</v>
      </c>
      <c r="M284" s="3">
        <f>M283/M282</f>
        <v>0</v>
      </c>
    </row>
    <row r="285" spans="1:13">
      <c r="A285" t="s">
        <v>17</v>
      </c>
      <c r="C285" s="3">
        <v>0</v>
      </c>
      <c r="D285" s="3">
        <v>0</v>
      </c>
      <c r="E285" s="3">
        <v>0</v>
      </c>
      <c r="G285" s="3">
        <v>0</v>
      </c>
      <c r="H285" s="3">
        <v>0</v>
      </c>
      <c r="I285" s="3">
        <v>0</v>
      </c>
      <c r="K285" s="3">
        <v>0</v>
      </c>
      <c r="L285" s="3">
        <v>0</v>
      </c>
      <c r="M285" s="3">
        <v>0</v>
      </c>
    </row>
    <row r="286" spans="1:13">
      <c r="A286" t="s">
        <v>18</v>
      </c>
      <c r="C286" s="3">
        <v>0</v>
      </c>
      <c r="D286" s="3">
        <v>0</v>
      </c>
      <c r="E286" s="3">
        <v>0</v>
      </c>
      <c r="G286" s="3">
        <v>0</v>
      </c>
      <c r="H286" s="3">
        <v>0</v>
      </c>
      <c r="I286" s="3">
        <v>0</v>
      </c>
      <c r="K286" s="3">
        <v>0</v>
      </c>
      <c r="L286" s="3">
        <v>0</v>
      </c>
      <c r="M286" s="3">
        <v>0</v>
      </c>
    </row>
    <row r="287" spans="1:13">
      <c r="A287" t="s">
        <v>19</v>
      </c>
      <c r="C287" s="3">
        <f>C283*C286*C285-C285</f>
        <v>0</v>
      </c>
      <c r="D287" s="3">
        <f>D283*D286*D285-D285</f>
        <v>0</v>
      </c>
      <c r="E287" s="3">
        <f>E283*E286*E285-E285</f>
        <v>0</v>
      </c>
      <c r="G287" s="3">
        <f>G283*G286*G285-G285</f>
        <v>0</v>
      </c>
      <c r="H287" s="3">
        <f>H283*H286*H285-H285</f>
        <v>0</v>
      </c>
      <c r="I287" s="3">
        <f>I283*I286*I285-I285</f>
        <v>0</v>
      </c>
      <c r="K287" s="3">
        <f>K283*K286*K285-K285</f>
        <v>0</v>
      </c>
      <c r="L287" s="3">
        <f>L283*L286*L285-L285</f>
        <v>0</v>
      </c>
      <c r="M287" s="3">
        <f>M283*M286*M285-M285</f>
        <v>0</v>
      </c>
    </row>
    <row r="289" spans="1:13">
      <c r="A289" s="1" t="s">
        <v>49</v>
      </c>
      <c r="C289" s="1" t="s">
        <v>1</v>
      </c>
      <c r="E289" s="1">
        <f>0+C296+D296+E296 + E280</f>
        <v>0</v>
      </c>
      <c r="G289" s="1" t="s">
        <v>2</v>
      </c>
      <c r="I289" s="1">
        <f>0+G296+H296+I296 + I280</f>
        <v>0</v>
      </c>
      <c r="K289" s="1" t="s">
        <v>3</v>
      </c>
      <c r="M289" s="1">
        <f>0+K296+L296+M296 + M280</f>
        <v>0</v>
      </c>
    </row>
    <row r="290" spans="1:13">
      <c r="A290" t="s">
        <v>55</v>
      </c>
      <c r="C290" s="2" t="s">
        <v>5</v>
      </c>
      <c r="D290" s="2" t="s">
        <v>6</v>
      </c>
      <c r="E290" s="2" t="s">
        <v>7</v>
      </c>
      <c r="G290" s="2" t="s">
        <v>8</v>
      </c>
      <c r="H290" s="2" t="s">
        <v>9</v>
      </c>
      <c r="I290" s="2" t="s">
        <v>10</v>
      </c>
      <c r="K290" s="2" t="s">
        <v>11</v>
      </c>
      <c r="L290" s="2" t="s">
        <v>12</v>
      </c>
      <c r="M290" s="2" t="s">
        <v>13</v>
      </c>
    </row>
    <row r="291" spans="1:13">
      <c r="A291" t="s">
        <v>14</v>
      </c>
      <c r="C291" s="3">
        <v>2.2599999999999998</v>
      </c>
      <c r="D291" s="3">
        <v>5.1689999999999996</v>
      </c>
      <c r="E291" s="3">
        <v>2.3210000000000002</v>
      </c>
      <c r="G291" s="3">
        <v>6.4980000000000002</v>
      </c>
      <c r="H291" s="3">
        <v>2.9940000000000002</v>
      </c>
      <c r="I291" s="3">
        <v>8.74</v>
      </c>
      <c r="K291" s="3">
        <v>1.5529999999999999</v>
      </c>
      <c r="L291" s="3">
        <v>35.029000000000003</v>
      </c>
      <c r="M291" s="3">
        <v>3.7610000000000001</v>
      </c>
    </row>
    <row r="292" spans="1:13">
      <c r="A292" t="s">
        <v>15</v>
      </c>
      <c r="C292" s="3">
        <v>0</v>
      </c>
      <c r="D292" s="3">
        <v>0</v>
      </c>
      <c r="E292" s="3">
        <v>0</v>
      </c>
      <c r="G292" s="3">
        <v>0</v>
      </c>
      <c r="H292" s="3">
        <v>0</v>
      </c>
      <c r="I292" s="3">
        <v>0</v>
      </c>
      <c r="K292" s="3">
        <v>0</v>
      </c>
      <c r="L292" s="3">
        <v>0</v>
      </c>
      <c r="M292" s="3">
        <v>0</v>
      </c>
    </row>
    <row r="293" spans="1:13">
      <c r="A293" t="s">
        <v>16</v>
      </c>
      <c r="C293" s="3">
        <f>C292/C291</f>
        <v>0</v>
      </c>
      <c r="D293" s="3">
        <f>D292/D291</f>
        <v>0</v>
      </c>
      <c r="E293" s="3">
        <f>E292/E291</f>
        <v>0</v>
      </c>
      <c r="G293" s="3">
        <f>G292/G291</f>
        <v>0</v>
      </c>
      <c r="H293" s="3">
        <f>H292/H291</f>
        <v>0</v>
      </c>
      <c r="I293" s="3">
        <f>I292/I291</f>
        <v>0</v>
      </c>
      <c r="K293" s="3">
        <f>K292/K291</f>
        <v>0</v>
      </c>
      <c r="L293" s="3">
        <f>L292/L291</f>
        <v>0</v>
      </c>
      <c r="M293" s="3">
        <f>M292/M291</f>
        <v>0</v>
      </c>
    </row>
    <row r="294" spans="1:13">
      <c r="A294" t="s">
        <v>17</v>
      </c>
      <c r="C294" s="3">
        <v>0</v>
      </c>
      <c r="D294" s="3">
        <v>0</v>
      </c>
      <c r="E294" s="3">
        <v>0</v>
      </c>
      <c r="G294" s="3">
        <v>0</v>
      </c>
      <c r="H294" s="3">
        <v>0</v>
      </c>
      <c r="I294" s="3">
        <v>0</v>
      </c>
      <c r="K294" s="3">
        <v>0</v>
      </c>
      <c r="L294" s="3">
        <v>0</v>
      </c>
      <c r="M294" s="3">
        <v>0</v>
      </c>
    </row>
    <row r="295" spans="1:13">
      <c r="A295" t="s">
        <v>18</v>
      </c>
      <c r="C295" s="3">
        <v>0</v>
      </c>
      <c r="D295" s="3">
        <v>0</v>
      </c>
      <c r="E295" s="3">
        <v>0</v>
      </c>
      <c r="G295" s="3">
        <v>0</v>
      </c>
      <c r="H295" s="3">
        <v>0</v>
      </c>
      <c r="I295" s="3">
        <v>0</v>
      </c>
      <c r="K295" s="3">
        <v>0</v>
      </c>
      <c r="L295" s="3">
        <v>0</v>
      </c>
      <c r="M295" s="3">
        <v>0</v>
      </c>
    </row>
    <row r="296" spans="1:13">
      <c r="A296" t="s">
        <v>19</v>
      </c>
      <c r="C296" s="3">
        <f>C292*C295*C294-C294</f>
        <v>0</v>
      </c>
      <c r="D296" s="3">
        <f>D292*D295*D294-D294</f>
        <v>0</v>
      </c>
      <c r="E296" s="3">
        <f>E292*E295*E294-E294</f>
        <v>0</v>
      </c>
      <c r="G296" s="3">
        <f>G292*G295*G294-G294</f>
        <v>0</v>
      </c>
      <c r="H296" s="3">
        <f>H292*H295*H294-H294</f>
        <v>0</v>
      </c>
      <c r="I296" s="3">
        <f>I292*I295*I294-I294</f>
        <v>0</v>
      </c>
      <c r="K296" s="3">
        <f>K292*K295*K294-K294</f>
        <v>0</v>
      </c>
      <c r="L296" s="3">
        <f>L292*L295*L294-L294</f>
        <v>0</v>
      </c>
      <c r="M296" s="3">
        <f>M292*M295*M294-M294</f>
        <v>0</v>
      </c>
    </row>
    <row r="298" spans="1:13">
      <c r="A298" s="1" t="s">
        <v>49</v>
      </c>
      <c r="C298" s="1" t="s">
        <v>1</v>
      </c>
      <c r="E298" s="1">
        <f>0+C305+D305+E305 + E289</f>
        <v>0</v>
      </c>
      <c r="G298" s="1" t="s">
        <v>2</v>
      </c>
      <c r="I298" s="1">
        <f>0+G305+H305+I305 + I289</f>
        <v>0</v>
      </c>
      <c r="K298" s="1" t="s">
        <v>3</v>
      </c>
      <c r="M298" s="1">
        <f>0+K305+L305+M305 + M289</f>
        <v>0</v>
      </c>
    </row>
    <row r="299" spans="1:13">
      <c r="A299" t="s">
        <v>56</v>
      </c>
      <c r="C299" s="2" t="s">
        <v>5</v>
      </c>
      <c r="D299" s="2" t="s">
        <v>6</v>
      </c>
      <c r="E299" s="2" t="s">
        <v>7</v>
      </c>
      <c r="G299" s="2" t="s">
        <v>8</v>
      </c>
      <c r="H299" s="2" t="s">
        <v>9</v>
      </c>
      <c r="I299" s="2" t="s">
        <v>10</v>
      </c>
      <c r="K299" s="2" t="s">
        <v>11</v>
      </c>
      <c r="L299" s="2" t="s">
        <v>12</v>
      </c>
      <c r="M299" s="2" t="s">
        <v>13</v>
      </c>
    </row>
    <row r="300" spans="1:13">
      <c r="A300" t="s">
        <v>14</v>
      </c>
      <c r="C300" s="3">
        <v>1.6950000000000001</v>
      </c>
      <c r="D300" s="3">
        <v>2.1819999999999999</v>
      </c>
      <c r="E300" s="3">
        <v>8.0069999999999997</v>
      </c>
      <c r="G300" s="3">
        <v>5.5609999999999999</v>
      </c>
      <c r="H300" s="3">
        <v>8.6639999999999997</v>
      </c>
      <c r="I300" s="3">
        <v>3.919</v>
      </c>
      <c r="K300" s="3">
        <v>1.1259999999999999</v>
      </c>
      <c r="L300" s="3">
        <v>1.905</v>
      </c>
      <c r="M300" s="3">
        <v>7.2889999999999997</v>
      </c>
    </row>
    <row r="301" spans="1:13">
      <c r="A301" t="s">
        <v>15</v>
      </c>
      <c r="C301" s="3">
        <v>0</v>
      </c>
      <c r="D301" s="3">
        <v>0</v>
      </c>
      <c r="E301" s="3">
        <v>0</v>
      </c>
      <c r="G301" s="3">
        <v>0</v>
      </c>
      <c r="H301" s="3">
        <v>0</v>
      </c>
      <c r="I301" s="3">
        <v>0</v>
      </c>
      <c r="K301" s="3">
        <v>0</v>
      </c>
      <c r="L301" s="3">
        <v>0</v>
      </c>
      <c r="M301" s="3">
        <v>0</v>
      </c>
    </row>
    <row r="302" spans="1:13">
      <c r="A302" t="s">
        <v>16</v>
      </c>
      <c r="C302" s="3">
        <f>C301/C300</f>
        <v>0</v>
      </c>
      <c r="D302" s="3">
        <f>D301/D300</f>
        <v>0</v>
      </c>
      <c r="E302" s="3">
        <f>E301/E300</f>
        <v>0</v>
      </c>
      <c r="G302" s="3">
        <f>G301/G300</f>
        <v>0</v>
      </c>
      <c r="H302" s="3">
        <f>H301/H300</f>
        <v>0</v>
      </c>
      <c r="I302" s="3">
        <f>I301/I300</f>
        <v>0</v>
      </c>
      <c r="K302" s="3">
        <f>K301/K300</f>
        <v>0</v>
      </c>
      <c r="L302" s="3">
        <f>L301/L300</f>
        <v>0</v>
      </c>
      <c r="M302" s="3">
        <f>M301/M300</f>
        <v>0</v>
      </c>
    </row>
    <row r="303" spans="1:13">
      <c r="A303" t="s">
        <v>17</v>
      </c>
      <c r="C303" s="3">
        <v>0</v>
      </c>
      <c r="D303" s="3">
        <v>0</v>
      </c>
      <c r="E303" s="3">
        <v>0</v>
      </c>
      <c r="G303" s="3">
        <v>0</v>
      </c>
      <c r="H303" s="3">
        <v>0</v>
      </c>
      <c r="I303" s="3">
        <v>0</v>
      </c>
      <c r="K303" s="3">
        <v>0</v>
      </c>
      <c r="L303" s="3">
        <v>0</v>
      </c>
      <c r="M303" s="3">
        <v>0</v>
      </c>
    </row>
    <row r="304" spans="1:13">
      <c r="A304" t="s">
        <v>18</v>
      </c>
      <c r="C304" s="3">
        <v>0</v>
      </c>
      <c r="D304" s="3">
        <v>0</v>
      </c>
      <c r="E304" s="3">
        <v>0</v>
      </c>
      <c r="G304" s="3">
        <v>0</v>
      </c>
      <c r="H304" s="3">
        <v>0</v>
      </c>
      <c r="I304" s="3">
        <v>0</v>
      </c>
      <c r="K304" s="3">
        <v>0</v>
      </c>
      <c r="L304" s="3">
        <v>0</v>
      </c>
      <c r="M304" s="3">
        <v>0</v>
      </c>
    </row>
    <row r="305" spans="1:13">
      <c r="A305" t="s">
        <v>19</v>
      </c>
      <c r="C305" s="3">
        <f>C301*C304*C303-C303</f>
        <v>0</v>
      </c>
      <c r="D305" s="3">
        <f>D301*D304*D303-D303</f>
        <v>0</v>
      </c>
      <c r="E305" s="3">
        <f>E301*E304*E303-E303</f>
        <v>0</v>
      </c>
      <c r="G305" s="3">
        <f>G301*G304*G303-G303</f>
        <v>0</v>
      </c>
      <c r="H305" s="3">
        <f>H301*H304*H303-H303</f>
        <v>0</v>
      </c>
      <c r="I305" s="3">
        <f>I301*I304*I303-I303</f>
        <v>0</v>
      </c>
      <c r="K305" s="3">
        <f>K301*K304*K303-K303</f>
        <v>0</v>
      </c>
      <c r="L305" s="3">
        <f>L301*L304*L303-L303</f>
        <v>0</v>
      </c>
      <c r="M305" s="3">
        <f>M301*M304*M303-M303</f>
        <v>0</v>
      </c>
    </row>
    <row r="307" spans="1:13">
      <c r="A307" s="1" t="s">
        <v>42</v>
      </c>
      <c r="C307" s="1" t="s">
        <v>1</v>
      </c>
      <c r="E307" s="1">
        <f>0+C314+D314+E314 + E298</f>
        <v>0</v>
      </c>
      <c r="G307" s="1" t="s">
        <v>2</v>
      </c>
      <c r="I307" s="1">
        <f>0+G314+H314+I314 + I298</f>
        <v>0</v>
      </c>
      <c r="K307" s="1" t="s">
        <v>3</v>
      </c>
      <c r="M307" s="1">
        <f>0+K314+L314+M314 + M298</f>
        <v>0</v>
      </c>
    </row>
    <row r="308" spans="1:13">
      <c r="A308" t="s">
        <v>57</v>
      </c>
      <c r="C308" s="2" t="s">
        <v>5</v>
      </c>
      <c r="D308" s="2" t="s">
        <v>6</v>
      </c>
      <c r="E308" s="2" t="s">
        <v>7</v>
      </c>
      <c r="G308" s="2" t="s">
        <v>8</v>
      </c>
      <c r="H308" s="2" t="s">
        <v>9</v>
      </c>
      <c r="I308" s="2" t="s">
        <v>10</v>
      </c>
      <c r="K308" s="2" t="s">
        <v>11</v>
      </c>
      <c r="L308" s="2" t="s">
        <v>12</v>
      </c>
      <c r="M308" s="2" t="s">
        <v>13</v>
      </c>
    </row>
    <row r="309" spans="1:13">
      <c r="A309" t="s">
        <v>14</v>
      </c>
      <c r="C309" s="3">
        <v>2.6890000000000001</v>
      </c>
      <c r="D309" s="3">
        <v>3.9329999999999998</v>
      </c>
      <c r="E309" s="3">
        <v>2.512</v>
      </c>
      <c r="G309" s="3">
        <v>31.177</v>
      </c>
      <c r="H309" s="3">
        <v>4.149</v>
      </c>
      <c r="I309" s="3">
        <v>4.6820000000000004</v>
      </c>
      <c r="K309" s="3">
        <v>2.403</v>
      </c>
      <c r="L309" s="3">
        <v>2.3050000000000002</v>
      </c>
      <c r="M309" s="3">
        <v>15.318</v>
      </c>
    </row>
    <row r="310" spans="1:13">
      <c r="A310" t="s">
        <v>15</v>
      </c>
      <c r="C310" s="3">
        <v>0</v>
      </c>
      <c r="D310" s="3">
        <v>0</v>
      </c>
      <c r="E310" s="3">
        <v>0</v>
      </c>
      <c r="G310" s="3">
        <v>0</v>
      </c>
      <c r="H310" s="3">
        <v>0</v>
      </c>
      <c r="I310" s="3">
        <v>0</v>
      </c>
      <c r="K310" s="3">
        <v>0</v>
      </c>
      <c r="L310" s="3">
        <v>0</v>
      </c>
      <c r="M310" s="3">
        <v>0</v>
      </c>
    </row>
    <row r="311" spans="1:13">
      <c r="A311" t="s">
        <v>16</v>
      </c>
      <c r="C311" s="3">
        <f>C310/C309</f>
        <v>0</v>
      </c>
      <c r="D311" s="3">
        <f>D310/D309</f>
        <v>0</v>
      </c>
      <c r="E311" s="3">
        <f>E310/E309</f>
        <v>0</v>
      </c>
      <c r="G311" s="3">
        <f>G310/G309</f>
        <v>0</v>
      </c>
      <c r="H311" s="3">
        <f>H310/H309</f>
        <v>0</v>
      </c>
      <c r="I311" s="3">
        <f>I310/I309</f>
        <v>0</v>
      </c>
      <c r="K311" s="3">
        <f>K310/K309</f>
        <v>0</v>
      </c>
      <c r="L311" s="3">
        <f>L310/L309</f>
        <v>0</v>
      </c>
      <c r="M311" s="3">
        <f>M310/M309</f>
        <v>0</v>
      </c>
    </row>
    <row r="312" spans="1:13">
      <c r="A312" t="s">
        <v>17</v>
      </c>
      <c r="C312" s="3">
        <v>0</v>
      </c>
      <c r="D312" s="3">
        <v>0</v>
      </c>
      <c r="E312" s="3">
        <v>0</v>
      </c>
      <c r="G312" s="3">
        <v>0</v>
      </c>
      <c r="H312" s="3">
        <v>0</v>
      </c>
      <c r="I312" s="3">
        <v>0</v>
      </c>
      <c r="K312" s="3">
        <v>0</v>
      </c>
      <c r="L312" s="3">
        <v>0</v>
      </c>
      <c r="M312" s="3">
        <v>0</v>
      </c>
    </row>
    <row r="313" spans="1:13">
      <c r="A313" t="s">
        <v>18</v>
      </c>
      <c r="C313" s="3">
        <v>0</v>
      </c>
      <c r="D313" s="3">
        <v>0</v>
      </c>
      <c r="E313" s="3">
        <v>0</v>
      </c>
      <c r="G313" s="3">
        <v>0</v>
      </c>
      <c r="H313" s="3">
        <v>0</v>
      </c>
      <c r="I313" s="3">
        <v>0</v>
      </c>
      <c r="K313" s="3">
        <v>0</v>
      </c>
      <c r="L313" s="3">
        <v>0</v>
      </c>
      <c r="M313" s="3">
        <v>0</v>
      </c>
    </row>
    <row r="314" spans="1:13">
      <c r="A314" t="s">
        <v>19</v>
      </c>
      <c r="C314" s="3">
        <f>C310*C313*C312-C312</f>
        <v>0</v>
      </c>
      <c r="D314" s="3">
        <f>D310*D313*D312-D312</f>
        <v>0</v>
      </c>
      <c r="E314" s="3">
        <f>E310*E313*E312-E312</f>
        <v>0</v>
      </c>
      <c r="G314" s="3">
        <f>G310*G313*G312-G312</f>
        <v>0</v>
      </c>
      <c r="H314" s="3">
        <f>H310*H313*H312-H312</f>
        <v>0</v>
      </c>
      <c r="I314" s="3">
        <f>I310*I313*I312-I312</f>
        <v>0</v>
      </c>
      <c r="K314" s="3">
        <f>K310*K313*K312-K312</f>
        <v>0</v>
      </c>
      <c r="L314" s="3">
        <f>L310*L313*L312-L312</f>
        <v>0</v>
      </c>
      <c r="M314" s="3">
        <f>M310*M313*M312-M312</f>
        <v>0</v>
      </c>
    </row>
    <row r="316" spans="1:13">
      <c r="A316" s="1" t="s">
        <v>42</v>
      </c>
      <c r="C316" s="1" t="s">
        <v>1</v>
      </c>
      <c r="E316" s="1">
        <f>0+C323+D323+E323 + E307</f>
        <v>0</v>
      </c>
      <c r="G316" s="1" t="s">
        <v>2</v>
      </c>
      <c r="I316" s="1">
        <f>0+G323+H323+I323 + I307</f>
        <v>0</v>
      </c>
      <c r="K316" s="1" t="s">
        <v>3</v>
      </c>
      <c r="M316" s="1">
        <f>0+K323+L323+M323 + M307</f>
        <v>0</v>
      </c>
    </row>
    <row r="317" spans="1:13">
      <c r="A317" t="s">
        <v>58</v>
      </c>
      <c r="C317" s="2" t="s">
        <v>5</v>
      </c>
      <c r="D317" s="2" t="s">
        <v>6</v>
      </c>
      <c r="E317" s="2" t="s">
        <v>7</v>
      </c>
      <c r="G317" s="2" t="s">
        <v>8</v>
      </c>
      <c r="H317" s="2" t="s">
        <v>9</v>
      </c>
      <c r="I317" s="2" t="s">
        <v>10</v>
      </c>
      <c r="K317" s="2" t="s">
        <v>11</v>
      </c>
      <c r="L317" s="2" t="s">
        <v>12</v>
      </c>
      <c r="M317" s="2" t="s">
        <v>13</v>
      </c>
    </row>
    <row r="318" spans="1:13">
      <c r="A318" t="s">
        <v>14</v>
      </c>
      <c r="C318" s="3">
        <v>1.1220000000000001</v>
      </c>
      <c r="D318" s="3">
        <v>24.186</v>
      </c>
      <c r="E318" s="3">
        <v>28.189</v>
      </c>
      <c r="G318" s="3">
        <v>1.4890000000000001</v>
      </c>
      <c r="H318" s="3">
        <v>2.4620000000000002</v>
      </c>
      <c r="I318" s="3">
        <v>9.2129999999999992</v>
      </c>
      <c r="K318" s="3">
        <v>1.3240000000000001</v>
      </c>
      <c r="L318" s="3">
        <v>5.6849999999999996</v>
      </c>
      <c r="M318" s="3">
        <v>12.048</v>
      </c>
    </row>
    <row r="319" spans="1:13">
      <c r="A319" t="s">
        <v>15</v>
      </c>
      <c r="C319" s="3">
        <v>0</v>
      </c>
      <c r="D319" s="3">
        <v>0</v>
      </c>
      <c r="E319" s="3">
        <v>0</v>
      </c>
      <c r="G319" s="3">
        <v>0</v>
      </c>
      <c r="H319" s="3">
        <v>0</v>
      </c>
      <c r="I319" s="3">
        <v>0</v>
      </c>
      <c r="K319" s="3">
        <v>0</v>
      </c>
      <c r="L319" s="3">
        <v>0</v>
      </c>
      <c r="M319" s="3">
        <v>0</v>
      </c>
    </row>
    <row r="320" spans="1:13">
      <c r="A320" t="s">
        <v>16</v>
      </c>
      <c r="C320" s="3">
        <f>C319/C318</f>
        <v>0</v>
      </c>
      <c r="D320" s="3">
        <f>D319/D318</f>
        <v>0</v>
      </c>
      <c r="E320" s="3">
        <f>E319/E318</f>
        <v>0</v>
      </c>
      <c r="G320" s="3">
        <f>G319/G318</f>
        <v>0</v>
      </c>
      <c r="H320" s="3">
        <f>H319/H318</f>
        <v>0</v>
      </c>
      <c r="I320" s="3">
        <f>I319/I318</f>
        <v>0</v>
      </c>
      <c r="K320" s="3">
        <f>K319/K318</f>
        <v>0</v>
      </c>
      <c r="L320" s="3">
        <f>L319/L318</f>
        <v>0</v>
      </c>
      <c r="M320" s="3">
        <f>M319/M318</f>
        <v>0</v>
      </c>
    </row>
    <row r="321" spans="1:13">
      <c r="A321" t="s">
        <v>17</v>
      </c>
      <c r="C321" s="3">
        <v>0</v>
      </c>
      <c r="D321" s="3">
        <v>0</v>
      </c>
      <c r="E321" s="3">
        <v>0</v>
      </c>
      <c r="G321" s="3">
        <v>0</v>
      </c>
      <c r="H321" s="3">
        <v>0</v>
      </c>
      <c r="I321" s="3">
        <v>0</v>
      </c>
      <c r="K321" s="3">
        <v>0</v>
      </c>
      <c r="L321" s="3">
        <v>0</v>
      </c>
      <c r="M321" s="3">
        <v>0</v>
      </c>
    </row>
    <row r="322" spans="1:13">
      <c r="A322" t="s">
        <v>18</v>
      </c>
      <c r="C322" s="3">
        <v>0</v>
      </c>
      <c r="D322" s="3">
        <v>0</v>
      </c>
      <c r="E322" s="3">
        <v>0</v>
      </c>
      <c r="G322" s="3">
        <v>0</v>
      </c>
      <c r="H322" s="3">
        <v>0</v>
      </c>
      <c r="I322" s="3">
        <v>0</v>
      </c>
      <c r="K322" s="3">
        <v>0</v>
      </c>
      <c r="L322" s="3">
        <v>0</v>
      </c>
      <c r="M322" s="3">
        <v>0</v>
      </c>
    </row>
    <row r="323" spans="1:13">
      <c r="A323" t="s">
        <v>19</v>
      </c>
      <c r="C323" s="3">
        <f>C319*C322*C321-C321</f>
        <v>0</v>
      </c>
      <c r="D323" s="3">
        <f>D319*D322*D321-D321</f>
        <v>0</v>
      </c>
      <c r="E323" s="3">
        <f>E319*E322*E321-E321</f>
        <v>0</v>
      </c>
      <c r="G323" s="3">
        <f>G319*G322*G321-G321</f>
        <v>0</v>
      </c>
      <c r="H323" s="3">
        <f>H319*H322*H321-H321</f>
        <v>0</v>
      </c>
      <c r="I323" s="3">
        <f>I319*I322*I321-I321</f>
        <v>0</v>
      </c>
      <c r="K323" s="3">
        <f>K319*K322*K321-K321</f>
        <v>0</v>
      </c>
      <c r="L323" s="3">
        <f>L319*L322*L321-L321</f>
        <v>0</v>
      </c>
      <c r="M323" s="3">
        <f>M319*M322*M321-M321</f>
        <v>0</v>
      </c>
    </row>
    <row r="325" spans="1:13">
      <c r="A325" s="1" t="s">
        <v>42</v>
      </c>
      <c r="C325" s="1" t="s">
        <v>1</v>
      </c>
      <c r="E325" s="1">
        <f>0+C332+D332+E332 + E316</f>
        <v>0</v>
      </c>
      <c r="G325" s="1" t="s">
        <v>2</v>
      </c>
      <c r="I325" s="1">
        <f>0+G332+H332+I332 + I316</f>
        <v>0</v>
      </c>
      <c r="K325" s="1" t="s">
        <v>3</v>
      </c>
      <c r="M325" s="1">
        <f>0+K332+L332+M332 + M316</f>
        <v>0</v>
      </c>
    </row>
    <row r="326" spans="1:13">
      <c r="A326" t="s">
        <v>59</v>
      </c>
      <c r="C326" s="2" t="s">
        <v>5</v>
      </c>
      <c r="D326" s="2" t="s">
        <v>6</v>
      </c>
      <c r="E326" s="2" t="s">
        <v>7</v>
      </c>
      <c r="G326" s="2" t="s">
        <v>8</v>
      </c>
      <c r="H326" s="2" t="s">
        <v>9</v>
      </c>
      <c r="I326" s="2" t="s">
        <v>10</v>
      </c>
      <c r="K326" s="2" t="s">
        <v>11</v>
      </c>
      <c r="L326" s="2" t="s">
        <v>12</v>
      </c>
      <c r="M326" s="2" t="s">
        <v>13</v>
      </c>
    </row>
    <row r="327" spans="1:13">
      <c r="A327" t="s">
        <v>14</v>
      </c>
      <c r="C327" s="3">
        <v>1.4530000000000001</v>
      </c>
      <c r="D327" s="3">
        <v>6.8959999999999999</v>
      </c>
      <c r="E327" s="3">
        <v>8.2560000000000002</v>
      </c>
      <c r="G327" s="3">
        <v>5.6</v>
      </c>
      <c r="H327" s="3">
        <v>5.7759999999999998</v>
      </c>
      <c r="I327" s="3">
        <v>1.7589999999999999</v>
      </c>
      <c r="K327" s="3">
        <v>1.1279999999999999</v>
      </c>
      <c r="L327" s="3">
        <v>4.9269999999999996</v>
      </c>
      <c r="M327" s="3">
        <v>4.5860000000000003</v>
      </c>
    </row>
    <row r="328" spans="1:13">
      <c r="A328" t="s">
        <v>15</v>
      </c>
      <c r="C328" s="3">
        <v>0</v>
      </c>
      <c r="D328" s="3">
        <v>0</v>
      </c>
      <c r="E328" s="3">
        <v>0</v>
      </c>
      <c r="G328" s="3">
        <v>0</v>
      </c>
      <c r="H328" s="3">
        <v>0</v>
      </c>
      <c r="I328" s="3">
        <v>0</v>
      </c>
      <c r="K328" s="3">
        <v>0</v>
      </c>
      <c r="L328" s="3">
        <v>0</v>
      </c>
      <c r="M328" s="3">
        <v>0</v>
      </c>
    </row>
    <row r="329" spans="1:13">
      <c r="A329" t="s">
        <v>16</v>
      </c>
      <c r="C329" s="3">
        <f>C328/C327</f>
        <v>0</v>
      </c>
      <c r="D329" s="3">
        <f>D328/D327</f>
        <v>0</v>
      </c>
      <c r="E329" s="3">
        <f>E328/E327</f>
        <v>0</v>
      </c>
      <c r="G329" s="3">
        <f>G328/G327</f>
        <v>0</v>
      </c>
      <c r="H329" s="3">
        <f>H328/H327</f>
        <v>0</v>
      </c>
      <c r="I329" s="3">
        <f>I328/I327</f>
        <v>0</v>
      </c>
      <c r="K329" s="3">
        <f>K328/K327</f>
        <v>0</v>
      </c>
      <c r="L329" s="3">
        <f>L328/L327</f>
        <v>0</v>
      </c>
      <c r="M329" s="3">
        <f>M328/M327</f>
        <v>0</v>
      </c>
    </row>
    <row r="330" spans="1:13">
      <c r="A330" t="s">
        <v>17</v>
      </c>
      <c r="C330" s="3">
        <v>0</v>
      </c>
      <c r="D330" s="3">
        <v>0</v>
      </c>
      <c r="E330" s="3">
        <v>0</v>
      </c>
      <c r="G330" s="3">
        <v>0</v>
      </c>
      <c r="H330" s="3">
        <v>0</v>
      </c>
      <c r="I330" s="3">
        <v>0</v>
      </c>
      <c r="K330" s="3">
        <v>0</v>
      </c>
      <c r="L330" s="3">
        <v>0</v>
      </c>
      <c r="M330" s="3">
        <v>0</v>
      </c>
    </row>
    <row r="331" spans="1:13">
      <c r="A331" t="s">
        <v>18</v>
      </c>
      <c r="C331" s="3">
        <v>0</v>
      </c>
      <c r="D331" s="3">
        <v>0</v>
      </c>
      <c r="E331" s="3">
        <v>0</v>
      </c>
      <c r="G331" s="3">
        <v>0</v>
      </c>
      <c r="H331" s="3">
        <v>0</v>
      </c>
      <c r="I331" s="3">
        <v>0</v>
      </c>
      <c r="K331" s="3">
        <v>0</v>
      </c>
      <c r="L331" s="3">
        <v>0</v>
      </c>
      <c r="M331" s="3">
        <v>0</v>
      </c>
    </row>
    <row r="332" spans="1:13">
      <c r="A332" t="s">
        <v>19</v>
      </c>
      <c r="C332" s="3">
        <f>C328*C331*C330-C330</f>
        <v>0</v>
      </c>
      <c r="D332" s="3">
        <f>D328*D331*D330-D330</f>
        <v>0</v>
      </c>
      <c r="E332" s="3">
        <f>E328*E331*E330-E330</f>
        <v>0</v>
      </c>
      <c r="G332" s="3">
        <f>G328*G331*G330-G330</f>
        <v>0</v>
      </c>
      <c r="H332" s="3">
        <f>H328*H331*H330-H330</f>
        <v>0</v>
      </c>
      <c r="I332" s="3">
        <f>I328*I331*I330-I330</f>
        <v>0</v>
      </c>
      <c r="K332" s="3">
        <f>K328*K331*K330-K330</f>
        <v>0</v>
      </c>
      <c r="L332" s="3">
        <f>L328*L331*L330-L330</f>
        <v>0</v>
      </c>
      <c r="M332" s="3">
        <f>M328*M331*M330-M330</f>
        <v>0</v>
      </c>
    </row>
    <row r="334" spans="1:13">
      <c r="A334" s="1" t="s">
        <v>42</v>
      </c>
      <c r="C334" s="1" t="s">
        <v>1</v>
      </c>
      <c r="E334" s="1">
        <f>0+C341+D341+E341 + E325</f>
        <v>0</v>
      </c>
      <c r="G334" s="1" t="s">
        <v>2</v>
      </c>
      <c r="I334" s="1">
        <f>0+G341+H341+I341 + I325</f>
        <v>0</v>
      </c>
      <c r="K334" s="1" t="s">
        <v>3</v>
      </c>
      <c r="M334" s="1">
        <f>0+K341+L341+M341 + M325</f>
        <v>0</v>
      </c>
    </row>
    <row r="335" spans="1:13">
      <c r="A335" t="s">
        <v>60</v>
      </c>
      <c r="C335" s="2" t="s">
        <v>5</v>
      </c>
      <c r="D335" s="2" t="s">
        <v>6</v>
      </c>
      <c r="E335" s="2" t="s">
        <v>7</v>
      </c>
      <c r="G335" s="2" t="s">
        <v>8</v>
      </c>
      <c r="H335" s="2" t="s">
        <v>9</v>
      </c>
      <c r="I335" s="2" t="s">
        <v>10</v>
      </c>
      <c r="K335" s="2" t="s">
        <v>11</v>
      </c>
      <c r="L335" s="2" t="s">
        <v>12</v>
      </c>
      <c r="M335" s="2" t="s">
        <v>13</v>
      </c>
    </row>
    <row r="336" spans="1:13">
      <c r="A336" t="s">
        <v>14</v>
      </c>
      <c r="C336" s="3">
        <v>1.677</v>
      </c>
      <c r="D336" s="3">
        <v>3.8340000000000001</v>
      </c>
      <c r="E336" s="3">
        <v>6.5670000000000002</v>
      </c>
      <c r="G336" s="3">
        <v>2.29</v>
      </c>
      <c r="H336" s="3">
        <v>1.875</v>
      </c>
      <c r="I336" s="3">
        <v>19.010999999999999</v>
      </c>
      <c r="K336" s="3">
        <v>1.1319999999999999</v>
      </c>
      <c r="L336" s="3">
        <v>3.1160000000000001</v>
      </c>
      <c r="M336" s="3">
        <v>11.113</v>
      </c>
    </row>
    <row r="337" spans="1:13">
      <c r="A337" t="s">
        <v>15</v>
      </c>
      <c r="C337" s="3">
        <v>0</v>
      </c>
      <c r="D337" s="3">
        <v>0</v>
      </c>
      <c r="E337" s="3">
        <v>0</v>
      </c>
      <c r="G337" s="3">
        <v>0</v>
      </c>
      <c r="H337" s="3">
        <v>0</v>
      </c>
      <c r="I337" s="3">
        <v>0</v>
      </c>
      <c r="K337" s="3">
        <v>0</v>
      </c>
      <c r="L337" s="3">
        <v>0</v>
      </c>
      <c r="M337" s="3">
        <v>0</v>
      </c>
    </row>
    <row r="338" spans="1:13">
      <c r="A338" t="s">
        <v>16</v>
      </c>
      <c r="C338" s="3">
        <f>C337/C336</f>
        <v>0</v>
      </c>
      <c r="D338" s="3">
        <f>D337/D336</f>
        <v>0</v>
      </c>
      <c r="E338" s="3">
        <f>E337/E336</f>
        <v>0</v>
      </c>
      <c r="G338" s="3">
        <f>G337/G336</f>
        <v>0</v>
      </c>
      <c r="H338" s="3">
        <f>H337/H336</f>
        <v>0</v>
      </c>
      <c r="I338" s="3">
        <f>I337/I336</f>
        <v>0</v>
      </c>
      <c r="K338" s="3">
        <f>K337/K336</f>
        <v>0</v>
      </c>
      <c r="L338" s="3">
        <f>L337/L336</f>
        <v>0</v>
      </c>
      <c r="M338" s="3">
        <f>M337/M336</f>
        <v>0</v>
      </c>
    </row>
    <row r="339" spans="1:13">
      <c r="A339" t="s">
        <v>17</v>
      </c>
      <c r="C339" s="3">
        <v>0</v>
      </c>
      <c r="D339" s="3">
        <v>0</v>
      </c>
      <c r="E339" s="3">
        <v>0</v>
      </c>
      <c r="G339" s="3">
        <v>0</v>
      </c>
      <c r="H339" s="3">
        <v>0</v>
      </c>
      <c r="I339" s="3">
        <v>0</v>
      </c>
      <c r="K339" s="3">
        <v>0</v>
      </c>
      <c r="L339" s="3">
        <v>0</v>
      </c>
      <c r="M339" s="3">
        <v>0</v>
      </c>
    </row>
    <row r="340" spans="1:13">
      <c r="A340" t="s">
        <v>18</v>
      </c>
      <c r="C340" s="3">
        <v>0</v>
      </c>
      <c r="D340" s="3">
        <v>0</v>
      </c>
      <c r="E340" s="3">
        <v>0</v>
      </c>
      <c r="G340" s="3">
        <v>0</v>
      </c>
      <c r="H340" s="3">
        <v>0</v>
      </c>
      <c r="I340" s="3">
        <v>0</v>
      </c>
      <c r="K340" s="3">
        <v>0</v>
      </c>
      <c r="L340" s="3">
        <v>0</v>
      </c>
      <c r="M340" s="3">
        <v>0</v>
      </c>
    </row>
    <row r="341" spans="1:13">
      <c r="A341" t="s">
        <v>19</v>
      </c>
      <c r="C341" s="3">
        <f>C337*C340*C339-C339</f>
        <v>0</v>
      </c>
      <c r="D341" s="3">
        <f>D337*D340*D339-D339</f>
        <v>0</v>
      </c>
      <c r="E341" s="3">
        <f>E337*E340*E339-E339</f>
        <v>0</v>
      </c>
      <c r="G341" s="3">
        <f>G337*G340*G339-G339</f>
        <v>0</v>
      </c>
      <c r="H341" s="3">
        <f>H337*H340*H339-H339</f>
        <v>0</v>
      </c>
      <c r="I341" s="3">
        <f>I337*I340*I339-I339</f>
        <v>0</v>
      </c>
      <c r="K341" s="3">
        <f>K337*K340*K339-K339</f>
        <v>0</v>
      </c>
      <c r="L341" s="3">
        <f>L337*L340*L339-L339</f>
        <v>0</v>
      </c>
      <c r="M341" s="3">
        <f>M337*M340*M339-M339</f>
        <v>0</v>
      </c>
    </row>
    <row r="343" spans="1:13">
      <c r="A343" s="1" t="s">
        <v>42</v>
      </c>
      <c r="C343" s="1" t="s">
        <v>1</v>
      </c>
      <c r="E343" s="1">
        <f>0+C350+D350+E350 + E334</f>
        <v>0</v>
      </c>
      <c r="G343" s="1" t="s">
        <v>2</v>
      </c>
      <c r="I343" s="1">
        <f>0+G350+H350+I350 + I334</f>
        <v>0</v>
      </c>
      <c r="K343" s="1" t="s">
        <v>3</v>
      </c>
      <c r="M343" s="1">
        <f>0+K350+L350+M350 + M334</f>
        <v>0</v>
      </c>
    </row>
    <row r="344" spans="1:13">
      <c r="A344" t="s">
        <v>61</v>
      </c>
      <c r="C344" s="2" t="s">
        <v>5</v>
      </c>
      <c r="D344" s="2" t="s">
        <v>6</v>
      </c>
      <c r="E344" s="2" t="s">
        <v>7</v>
      </c>
      <c r="G344" s="2" t="s">
        <v>8</v>
      </c>
      <c r="H344" s="2" t="s">
        <v>9</v>
      </c>
      <c r="I344" s="2" t="s">
        <v>10</v>
      </c>
      <c r="K344" s="2" t="s">
        <v>11</v>
      </c>
      <c r="L344" s="2" t="s">
        <v>12</v>
      </c>
      <c r="M344" s="2" t="s">
        <v>13</v>
      </c>
    </row>
    <row r="345" spans="1:13">
      <c r="A345" t="s">
        <v>14</v>
      </c>
      <c r="C345" s="3">
        <v>2.6920000000000002</v>
      </c>
      <c r="D345" s="3">
        <v>9.6080000000000005</v>
      </c>
      <c r="E345" s="3">
        <v>1.9550000000000001</v>
      </c>
      <c r="G345" s="3">
        <v>3.887</v>
      </c>
      <c r="H345" s="3">
        <v>2.931</v>
      </c>
      <c r="I345" s="3">
        <v>1.468</v>
      </c>
      <c r="K345" s="3">
        <v>1.234</v>
      </c>
      <c r="L345" s="3">
        <v>2.3050000000000002</v>
      </c>
      <c r="M345" s="3">
        <v>4.516</v>
      </c>
    </row>
    <row r="346" spans="1:13">
      <c r="A346" t="s">
        <v>15</v>
      </c>
      <c r="C346" s="3">
        <v>0</v>
      </c>
      <c r="D346" s="3">
        <v>0</v>
      </c>
      <c r="E346" s="3">
        <v>0</v>
      </c>
      <c r="G346" s="3">
        <v>0</v>
      </c>
      <c r="H346" s="3">
        <v>0</v>
      </c>
      <c r="I346" s="3">
        <v>0</v>
      </c>
      <c r="K346" s="3">
        <v>0</v>
      </c>
      <c r="L346" s="3">
        <v>0</v>
      </c>
      <c r="M346" s="3">
        <v>0</v>
      </c>
    </row>
    <row r="347" spans="1:13">
      <c r="A347" t="s">
        <v>16</v>
      </c>
      <c r="C347" s="3">
        <f>C346/C345</f>
        <v>0</v>
      </c>
      <c r="D347" s="3">
        <f>D346/D345</f>
        <v>0</v>
      </c>
      <c r="E347" s="3">
        <f>E346/E345</f>
        <v>0</v>
      </c>
      <c r="G347" s="3">
        <f>G346/G345</f>
        <v>0</v>
      </c>
      <c r="H347" s="3">
        <f>H346/H345</f>
        <v>0</v>
      </c>
      <c r="I347" s="3">
        <f>I346/I345</f>
        <v>0</v>
      </c>
      <c r="K347" s="3">
        <f>K346/K345</f>
        <v>0</v>
      </c>
      <c r="L347" s="3">
        <f>L346/L345</f>
        <v>0</v>
      </c>
      <c r="M347" s="3">
        <f>M346/M345</f>
        <v>0</v>
      </c>
    </row>
    <row r="348" spans="1:13">
      <c r="A348" t="s">
        <v>17</v>
      </c>
      <c r="C348" s="3">
        <v>0</v>
      </c>
      <c r="D348" s="3">
        <v>0</v>
      </c>
      <c r="E348" s="3">
        <v>0</v>
      </c>
      <c r="G348" s="3">
        <v>0</v>
      </c>
      <c r="H348" s="3">
        <v>0</v>
      </c>
      <c r="I348" s="3">
        <v>0</v>
      </c>
      <c r="K348" s="3">
        <v>0</v>
      </c>
      <c r="L348" s="3">
        <v>0</v>
      </c>
      <c r="M348" s="3">
        <v>0</v>
      </c>
    </row>
    <row r="349" spans="1:13">
      <c r="A349" t="s">
        <v>18</v>
      </c>
      <c r="C349" s="3">
        <v>0</v>
      </c>
      <c r="D349" s="3">
        <v>0</v>
      </c>
      <c r="E349" s="3">
        <v>0</v>
      </c>
      <c r="G349" s="3">
        <v>0</v>
      </c>
      <c r="H349" s="3">
        <v>0</v>
      </c>
      <c r="I349" s="3">
        <v>0</v>
      </c>
      <c r="K349" s="3">
        <v>0</v>
      </c>
      <c r="L349" s="3">
        <v>0</v>
      </c>
      <c r="M349" s="3">
        <v>0</v>
      </c>
    </row>
    <row r="350" spans="1:13">
      <c r="A350" t="s">
        <v>19</v>
      </c>
      <c r="C350" s="3">
        <f>C346*C349*C348-C348</f>
        <v>0</v>
      </c>
      <c r="D350" s="3">
        <f>D346*D349*D348-D348</f>
        <v>0</v>
      </c>
      <c r="E350" s="3">
        <f>E346*E349*E348-E348</f>
        <v>0</v>
      </c>
      <c r="G350" s="3">
        <f>G346*G349*G348-G348</f>
        <v>0</v>
      </c>
      <c r="H350" s="3">
        <f>H346*H349*H348-H348</f>
        <v>0</v>
      </c>
      <c r="I350" s="3">
        <f>I346*I349*I348-I348</f>
        <v>0</v>
      </c>
      <c r="K350" s="3">
        <f>K346*K349*K348-K348</f>
        <v>0</v>
      </c>
      <c r="L350" s="3">
        <f>L346*L349*L348-L348</f>
        <v>0</v>
      </c>
      <c r="M350" s="3">
        <f>M346*M349*M348-M348</f>
        <v>0</v>
      </c>
    </row>
    <row r="352" spans="1:13">
      <c r="A352" s="1" t="s">
        <v>42</v>
      </c>
      <c r="C352" s="1" t="s">
        <v>1</v>
      </c>
      <c r="E352" s="1">
        <f>0+C359+D359+E359 + E343</f>
        <v>0</v>
      </c>
      <c r="G352" s="1" t="s">
        <v>2</v>
      </c>
      <c r="I352" s="1">
        <f>0+G359+H359+I359 + I343</f>
        <v>0</v>
      </c>
      <c r="K352" s="1" t="s">
        <v>3</v>
      </c>
      <c r="M352" s="1">
        <f>0+K359+L359+M359 + M343</f>
        <v>0</v>
      </c>
    </row>
    <row r="353" spans="1:13">
      <c r="A353" t="s">
        <v>62</v>
      </c>
      <c r="C353" s="2" t="s">
        <v>5</v>
      </c>
      <c r="D353" s="2" t="s">
        <v>6</v>
      </c>
      <c r="E353" s="2" t="s">
        <v>7</v>
      </c>
      <c r="G353" s="2" t="s">
        <v>8</v>
      </c>
      <c r="H353" s="2" t="s">
        <v>9</v>
      </c>
      <c r="I353" s="2" t="s">
        <v>10</v>
      </c>
      <c r="K353" s="2" t="s">
        <v>11</v>
      </c>
      <c r="L353" s="2" t="s">
        <v>12</v>
      </c>
      <c r="M353" s="2" t="s">
        <v>13</v>
      </c>
    </row>
    <row r="354" spans="1:13">
      <c r="A354" t="s">
        <v>14</v>
      </c>
      <c r="C354" s="3">
        <v>1.5369999999999999</v>
      </c>
      <c r="D354" s="3">
        <v>5.0439999999999996</v>
      </c>
      <c r="E354" s="3">
        <v>10.099</v>
      </c>
      <c r="G354" s="3">
        <v>2.464</v>
      </c>
      <c r="H354" s="3">
        <v>3.9870000000000001</v>
      </c>
      <c r="I354" s="3">
        <v>4.3609999999999998</v>
      </c>
      <c r="K354" s="3">
        <v>2.1150000000000002</v>
      </c>
      <c r="L354" s="3">
        <v>2.6640000000000001</v>
      </c>
      <c r="M354" s="3">
        <v>8.3829999999999991</v>
      </c>
    </row>
    <row r="355" spans="1:13">
      <c r="A355" t="s">
        <v>15</v>
      </c>
      <c r="C355" s="3">
        <v>0</v>
      </c>
      <c r="D355" s="3">
        <v>0</v>
      </c>
      <c r="E355" s="3">
        <v>0</v>
      </c>
      <c r="G355" s="3">
        <v>0</v>
      </c>
      <c r="H355" s="3">
        <v>0</v>
      </c>
      <c r="I355" s="3">
        <v>0</v>
      </c>
      <c r="K355" s="3">
        <v>0</v>
      </c>
      <c r="L355" s="3">
        <v>0</v>
      </c>
      <c r="M355" s="3">
        <v>0</v>
      </c>
    </row>
    <row r="356" spans="1:13">
      <c r="A356" t="s">
        <v>16</v>
      </c>
      <c r="C356" s="3">
        <f>C355/C354</f>
        <v>0</v>
      </c>
      <c r="D356" s="3">
        <f>D355/D354</f>
        <v>0</v>
      </c>
      <c r="E356" s="3">
        <f>E355/E354</f>
        <v>0</v>
      </c>
      <c r="G356" s="3">
        <f>G355/G354</f>
        <v>0</v>
      </c>
      <c r="H356" s="3">
        <f>H355/H354</f>
        <v>0</v>
      </c>
      <c r="I356" s="3">
        <f>I355/I354</f>
        <v>0</v>
      </c>
      <c r="K356" s="3">
        <f>K355/K354</f>
        <v>0</v>
      </c>
      <c r="L356" s="3">
        <f>L355/L354</f>
        <v>0</v>
      </c>
      <c r="M356" s="3">
        <f>M355/M354</f>
        <v>0</v>
      </c>
    </row>
    <row r="357" spans="1:13">
      <c r="A357" t="s">
        <v>17</v>
      </c>
      <c r="C357" s="3">
        <v>0</v>
      </c>
      <c r="D357" s="3">
        <v>0</v>
      </c>
      <c r="E357" s="3">
        <v>0</v>
      </c>
      <c r="G357" s="3">
        <v>0</v>
      </c>
      <c r="H357" s="3">
        <v>0</v>
      </c>
      <c r="I357" s="3">
        <v>0</v>
      </c>
      <c r="K357" s="3">
        <v>0</v>
      </c>
      <c r="L357" s="3">
        <v>0</v>
      </c>
      <c r="M357" s="3">
        <v>0</v>
      </c>
    </row>
    <row r="358" spans="1:13">
      <c r="A358" t="s">
        <v>18</v>
      </c>
      <c r="C358" s="3">
        <v>0</v>
      </c>
      <c r="D358" s="3">
        <v>0</v>
      </c>
      <c r="E358" s="3">
        <v>0</v>
      </c>
      <c r="G358" s="3">
        <v>0</v>
      </c>
      <c r="H358" s="3">
        <v>0</v>
      </c>
      <c r="I358" s="3">
        <v>0</v>
      </c>
      <c r="K358" s="3">
        <v>0</v>
      </c>
      <c r="L358" s="3">
        <v>0</v>
      </c>
      <c r="M358" s="3">
        <v>0</v>
      </c>
    </row>
    <row r="359" spans="1:13">
      <c r="A359" t="s">
        <v>19</v>
      </c>
      <c r="C359" s="3">
        <f>C355*C358*C357-C357</f>
        <v>0</v>
      </c>
      <c r="D359" s="3">
        <f>D355*D358*D357-D357</f>
        <v>0</v>
      </c>
      <c r="E359" s="3">
        <f>E355*E358*E357-E357</f>
        <v>0</v>
      </c>
      <c r="G359" s="3">
        <f>G355*G358*G357-G357</f>
        <v>0</v>
      </c>
      <c r="H359" s="3">
        <f>H355*H358*H357-H357</f>
        <v>0</v>
      </c>
      <c r="I359" s="3">
        <f>I355*I358*I357-I357</f>
        <v>0</v>
      </c>
      <c r="K359" s="3">
        <f>K355*K358*K357-K357</f>
        <v>0</v>
      </c>
      <c r="L359" s="3">
        <f>L355*L358*L357-L357</f>
        <v>0</v>
      </c>
      <c r="M359" s="3">
        <f>M355*M358*M357-M357</f>
        <v>0</v>
      </c>
    </row>
    <row r="361" spans="1:13">
      <c r="A361" s="1" t="s">
        <v>26</v>
      </c>
      <c r="C361" s="1" t="s">
        <v>1</v>
      </c>
      <c r="E361" s="1">
        <f>0+C368+D368+E368 + E352</f>
        <v>0</v>
      </c>
      <c r="G361" s="1" t="s">
        <v>2</v>
      </c>
      <c r="I361" s="1">
        <f>0+G368+H368+I368 + I352</f>
        <v>0</v>
      </c>
      <c r="K361" s="1" t="s">
        <v>3</v>
      </c>
      <c r="M361" s="1">
        <f>0+K368+L368+M368 + M352</f>
        <v>0</v>
      </c>
    </row>
    <row r="362" spans="1:13">
      <c r="A362" t="s">
        <v>63</v>
      </c>
      <c r="C362" s="2" t="s">
        <v>5</v>
      </c>
      <c r="D362" s="2" t="s">
        <v>6</v>
      </c>
      <c r="E362" s="2" t="s">
        <v>7</v>
      </c>
      <c r="G362" s="2" t="s">
        <v>8</v>
      </c>
      <c r="H362" s="2" t="s">
        <v>9</v>
      </c>
      <c r="I362" s="2" t="s">
        <v>10</v>
      </c>
      <c r="K362" s="2" t="s">
        <v>11</v>
      </c>
      <c r="L362" s="2" t="s">
        <v>12</v>
      </c>
      <c r="M362" s="2" t="s">
        <v>13</v>
      </c>
    </row>
    <row r="363" spans="1:13">
      <c r="A363" t="s">
        <v>14</v>
      </c>
      <c r="C363" s="3">
        <v>1.5640000000000001</v>
      </c>
      <c r="D363" s="3">
        <v>3.0579999999999998</v>
      </c>
      <c r="E363" s="3">
        <v>33.555999999999997</v>
      </c>
      <c r="G363" s="3">
        <v>1.5529999999999999</v>
      </c>
      <c r="H363" s="3">
        <v>8.7520000000000007</v>
      </c>
      <c r="I363" s="3">
        <v>16.658999999999999</v>
      </c>
      <c r="K363" s="3">
        <v>1.319</v>
      </c>
      <c r="L363" s="3">
        <v>55.543999999999997</v>
      </c>
      <c r="M363" s="3">
        <v>7.8490000000000002</v>
      </c>
    </row>
    <row r="364" spans="1:13">
      <c r="A364" t="s">
        <v>15</v>
      </c>
      <c r="C364" s="3">
        <v>0</v>
      </c>
      <c r="D364" s="3">
        <v>0</v>
      </c>
      <c r="E364" s="3">
        <v>0</v>
      </c>
      <c r="G364" s="3">
        <v>0</v>
      </c>
      <c r="H364" s="3">
        <v>0</v>
      </c>
      <c r="I364" s="3">
        <v>0</v>
      </c>
      <c r="K364" s="3">
        <v>0</v>
      </c>
      <c r="L364" s="3">
        <v>0</v>
      </c>
      <c r="M364" s="3">
        <v>0</v>
      </c>
    </row>
    <row r="365" spans="1:13">
      <c r="A365" t="s">
        <v>16</v>
      </c>
      <c r="C365" s="3">
        <f>C364/C363</f>
        <v>0</v>
      </c>
      <c r="D365" s="3">
        <f>D364/D363</f>
        <v>0</v>
      </c>
      <c r="E365" s="3">
        <f>E364/E363</f>
        <v>0</v>
      </c>
      <c r="G365" s="3">
        <f>G364/G363</f>
        <v>0</v>
      </c>
      <c r="H365" s="3">
        <f>H364/H363</f>
        <v>0</v>
      </c>
      <c r="I365" s="3">
        <f>I364/I363</f>
        <v>0</v>
      </c>
      <c r="K365" s="3">
        <f>K364/K363</f>
        <v>0</v>
      </c>
      <c r="L365" s="3">
        <f>L364/L363</f>
        <v>0</v>
      </c>
      <c r="M365" s="3">
        <f>M364/M363</f>
        <v>0</v>
      </c>
    </row>
    <row r="366" spans="1:13">
      <c r="A366" t="s">
        <v>17</v>
      </c>
      <c r="C366" s="3">
        <v>0</v>
      </c>
      <c r="D366" s="3">
        <v>0</v>
      </c>
      <c r="E366" s="3">
        <v>0</v>
      </c>
      <c r="G366" s="3">
        <v>0</v>
      </c>
      <c r="H366" s="3">
        <v>0</v>
      </c>
      <c r="I366" s="3">
        <v>0</v>
      </c>
      <c r="K366" s="3">
        <v>0</v>
      </c>
      <c r="L366" s="3">
        <v>0</v>
      </c>
      <c r="M366" s="3">
        <v>0</v>
      </c>
    </row>
    <row r="367" spans="1:13">
      <c r="A367" t="s">
        <v>18</v>
      </c>
      <c r="C367" s="3">
        <v>0</v>
      </c>
      <c r="D367" s="3">
        <v>0</v>
      </c>
      <c r="E367" s="3">
        <v>0</v>
      </c>
      <c r="G367" s="3">
        <v>0</v>
      </c>
      <c r="H367" s="3">
        <v>0</v>
      </c>
      <c r="I367" s="3">
        <v>0</v>
      </c>
      <c r="K367" s="3">
        <v>0</v>
      </c>
      <c r="L367" s="3">
        <v>0</v>
      </c>
      <c r="M367" s="3">
        <v>0</v>
      </c>
    </row>
    <row r="368" spans="1:13">
      <c r="A368" t="s">
        <v>19</v>
      </c>
      <c r="C368" s="3">
        <f>C364*C367*C366-C366</f>
        <v>0</v>
      </c>
      <c r="D368" s="3">
        <f>D364*D367*D366-D366</f>
        <v>0</v>
      </c>
      <c r="E368" s="3">
        <f>E364*E367*E366-E366</f>
        <v>0</v>
      </c>
      <c r="G368" s="3">
        <f>G364*G367*G366-G366</f>
        <v>0</v>
      </c>
      <c r="H368" s="3">
        <f>H364*H367*H366-H366</f>
        <v>0</v>
      </c>
      <c r="I368" s="3">
        <f>I364*I367*I366-I366</f>
        <v>0</v>
      </c>
      <c r="K368" s="3">
        <f>K364*K367*K366-K366</f>
        <v>0</v>
      </c>
      <c r="L368" s="3">
        <f>L364*L367*L366-L366</f>
        <v>0</v>
      </c>
      <c r="M368" s="3">
        <f>M364*M367*M366-M366</f>
        <v>0</v>
      </c>
    </row>
    <row r="370" spans="1:13">
      <c r="A370" s="1" t="s">
        <v>26</v>
      </c>
      <c r="C370" s="1" t="s">
        <v>1</v>
      </c>
      <c r="E370" s="1">
        <f>0+C377+D377+E377 + E361</f>
        <v>0</v>
      </c>
      <c r="G370" s="1" t="s">
        <v>2</v>
      </c>
      <c r="I370" s="1">
        <f>0+G377+H377+I377 + I361</f>
        <v>0</v>
      </c>
      <c r="K370" s="1" t="s">
        <v>3</v>
      </c>
      <c r="M370" s="1">
        <f>0+K377+L377+M377 + M361</f>
        <v>0</v>
      </c>
    </row>
    <row r="371" spans="1:13">
      <c r="A371" t="s">
        <v>64</v>
      </c>
      <c r="C371" s="2" t="s">
        <v>5</v>
      </c>
      <c r="D371" s="2" t="s">
        <v>6</v>
      </c>
      <c r="E371" s="2" t="s">
        <v>7</v>
      </c>
      <c r="G371" s="2" t="s">
        <v>8</v>
      </c>
      <c r="H371" s="2" t="s">
        <v>9</v>
      </c>
      <c r="I371" s="2" t="s">
        <v>10</v>
      </c>
      <c r="K371" s="2" t="s">
        <v>11</v>
      </c>
      <c r="L371" s="2" t="s">
        <v>12</v>
      </c>
      <c r="M371" s="2" t="s">
        <v>13</v>
      </c>
    </row>
    <row r="372" spans="1:13">
      <c r="A372" t="s">
        <v>14</v>
      </c>
      <c r="C372" s="3">
        <v>4.6289999999999996</v>
      </c>
      <c r="D372" s="3">
        <v>2.6949999999999998</v>
      </c>
      <c r="E372" s="3">
        <v>1.4550000000000001</v>
      </c>
      <c r="G372" s="3">
        <v>7.8029999999999999</v>
      </c>
      <c r="H372" s="3">
        <v>3.367</v>
      </c>
      <c r="I372" s="3">
        <v>2.4870000000000001</v>
      </c>
      <c r="K372" s="3">
        <v>4.5430000000000001</v>
      </c>
      <c r="L372" s="3">
        <v>10.301</v>
      </c>
      <c r="M372" s="3">
        <v>2.8130000000000002</v>
      </c>
    </row>
    <row r="373" spans="1:13">
      <c r="A373" t="s">
        <v>15</v>
      </c>
      <c r="C373" s="3">
        <v>0</v>
      </c>
      <c r="D373" s="3">
        <v>0</v>
      </c>
      <c r="E373" s="3">
        <v>0</v>
      </c>
      <c r="G373" s="3">
        <v>0</v>
      </c>
      <c r="H373" s="3">
        <v>0</v>
      </c>
      <c r="I373" s="3">
        <v>0</v>
      </c>
      <c r="K373" s="3">
        <v>0</v>
      </c>
      <c r="L373" s="3">
        <v>0</v>
      </c>
      <c r="M373" s="3">
        <v>0</v>
      </c>
    </row>
    <row r="374" spans="1:13">
      <c r="A374" t="s">
        <v>16</v>
      </c>
      <c r="C374" s="3">
        <f>C373/C372</f>
        <v>0</v>
      </c>
      <c r="D374" s="3">
        <f>D373/D372</f>
        <v>0</v>
      </c>
      <c r="E374" s="3">
        <f>E373/E372</f>
        <v>0</v>
      </c>
      <c r="G374" s="3">
        <f>G373/G372</f>
        <v>0</v>
      </c>
      <c r="H374" s="3">
        <f>H373/H372</f>
        <v>0</v>
      </c>
      <c r="I374" s="3">
        <f>I373/I372</f>
        <v>0</v>
      </c>
      <c r="K374" s="3">
        <f>K373/K372</f>
        <v>0</v>
      </c>
      <c r="L374" s="3">
        <f>L373/L372</f>
        <v>0</v>
      </c>
      <c r="M374" s="3">
        <f>M373/M372</f>
        <v>0</v>
      </c>
    </row>
    <row r="375" spans="1:13">
      <c r="A375" t="s">
        <v>17</v>
      </c>
      <c r="C375" s="3">
        <v>0</v>
      </c>
      <c r="D375" s="3">
        <v>0</v>
      </c>
      <c r="E375" s="3">
        <v>0</v>
      </c>
      <c r="G375" s="3">
        <v>0</v>
      </c>
      <c r="H375" s="3">
        <v>0</v>
      </c>
      <c r="I375" s="3">
        <v>0</v>
      </c>
      <c r="K375" s="3">
        <v>0</v>
      </c>
      <c r="L375" s="3">
        <v>0</v>
      </c>
      <c r="M375" s="3">
        <v>0</v>
      </c>
    </row>
    <row r="376" spans="1:13">
      <c r="A376" t="s">
        <v>18</v>
      </c>
      <c r="C376" s="3">
        <v>0</v>
      </c>
      <c r="D376" s="3">
        <v>0</v>
      </c>
      <c r="E376" s="3">
        <v>0</v>
      </c>
      <c r="G376" s="3">
        <v>0</v>
      </c>
      <c r="H376" s="3">
        <v>0</v>
      </c>
      <c r="I376" s="3">
        <v>0</v>
      </c>
      <c r="K376" s="3">
        <v>0</v>
      </c>
      <c r="L376" s="3">
        <v>0</v>
      </c>
      <c r="M376" s="3">
        <v>0</v>
      </c>
    </row>
    <row r="377" spans="1:13">
      <c r="A377" t="s">
        <v>19</v>
      </c>
      <c r="C377" s="3">
        <f>C373*C376*C375-C375</f>
        <v>0</v>
      </c>
      <c r="D377" s="3">
        <f>D373*D376*D375-D375</f>
        <v>0</v>
      </c>
      <c r="E377" s="3">
        <f>E373*E376*E375-E375</f>
        <v>0</v>
      </c>
      <c r="G377" s="3">
        <f>G373*G376*G375-G375</f>
        <v>0</v>
      </c>
      <c r="H377" s="3">
        <f>H373*H376*H375-H375</f>
        <v>0</v>
      </c>
      <c r="I377" s="3">
        <f>I373*I376*I375-I375</f>
        <v>0</v>
      </c>
      <c r="K377" s="3">
        <f>K373*K376*K375-K375</f>
        <v>0</v>
      </c>
      <c r="L377" s="3">
        <f>L373*L376*L375-L375</f>
        <v>0</v>
      </c>
      <c r="M377" s="3">
        <f>M373*M376*M375-M375</f>
        <v>0</v>
      </c>
    </row>
    <row r="379" spans="1:13">
      <c r="A379" s="1" t="s">
        <v>26</v>
      </c>
      <c r="C379" s="1" t="s">
        <v>1</v>
      </c>
      <c r="E379" s="1">
        <f>0+C386+D386+E386 + E370</f>
        <v>0</v>
      </c>
      <c r="G379" s="1" t="s">
        <v>2</v>
      </c>
      <c r="I379" s="1">
        <f>0+G386+H386+I386 + I370</f>
        <v>0</v>
      </c>
      <c r="K379" s="1" t="s">
        <v>3</v>
      </c>
      <c r="M379" s="1">
        <f>0+K386+L386+M386 + M370</f>
        <v>0</v>
      </c>
    </row>
    <row r="380" spans="1:13">
      <c r="A380" t="s">
        <v>65</v>
      </c>
      <c r="C380" s="2" t="s">
        <v>5</v>
      </c>
      <c r="D380" s="2" t="s">
        <v>6</v>
      </c>
      <c r="E380" s="2" t="s">
        <v>7</v>
      </c>
      <c r="G380" s="2" t="s">
        <v>8</v>
      </c>
      <c r="H380" s="2" t="s">
        <v>9</v>
      </c>
      <c r="I380" s="2" t="s">
        <v>10</v>
      </c>
      <c r="K380" s="2" t="s">
        <v>11</v>
      </c>
      <c r="L380" s="2" t="s">
        <v>12</v>
      </c>
      <c r="M380" s="2" t="s">
        <v>13</v>
      </c>
    </row>
    <row r="381" spans="1:13">
      <c r="A381" t="s">
        <v>14</v>
      </c>
      <c r="C381" s="3">
        <v>2.0550000000000002</v>
      </c>
      <c r="D381" s="3">
        <v>1.486</v>
      </c>
      <c r="E381" s="3">
        <v>6.7</v>
      </c>
      <c r="G381" s="3">
        <v>8.4819999999999993</v>
      </c>
      <c r="H381" s="3">
        <v>1.0740000000000001</v>
      </c>
      <c r="I381" s="3">
        <v>6.21</v>
      </c>
      <c r="K381" s="3">
        <v>1.536</v>
      </c>
      <c r="L381" s="3">
        <v>5.94</v>
      </c>
      <c r="M381" s="3">
        <v>2.8490000000000002</v>
      </c>
    </row>
    <row r="382" spans="1:13">
      <c r="A382" t="s">
        <v>15</v>
      </c>
      <c r="C382" s="3">
        <v>0</v>
      </c>
      <c r="D382" s="3">
        <v>0</v>
      </c>
      <c r="E382" s="3">
        <v>0</v>
      </c>
      <c r="G382" s="3">
        <v>0</v>
      </c>
      <c r="H382" s="3">
        <v>0</v>
      </c>
      <c r="I382" s="3">
        <v>0</v>
      </c>
      <c r="K382" s="3">
        <v>0</v>
      </c>
      <c r="L382" s="3">
        <v>0</v>
      </c>
      <c r="M382" s="3">
        <v>0</v>
      </c>
    </row>
    <row r="383" spans="1:13">
      <c r="A383" t="s">
        <v>16</v>
      </c>
      <c r="C383" s="3">
        <f>C382/C381</f>
        <v>0</v>
      </c>
      <c r="D383" s="3">
        <f>D382/D381</f>
        <v>0</v>
      </c>
      <c r="E383" s="3">
        <f>E382/E381</f>
        <v>0</v>
      </c>
      <c r="G383" s="3">
        <f>G382/G381</f>
        <v>0</v>
      </c>
      <c r="H383" s="3">
        <f>H382/H381</f>
        <v>0</v>
      </c>
      <c r="I383" s="3">
        <f>I382/I381</f>
        <v>0</v>
      </c>
      <c r="K383" s="3">
        <f>K382/K381</f>
        <v>0</v>
      </c>
      <c r="L383" s="3">
        <f>L382/L381</f>
        <v>0</v>
      </c>
      <c r="M383" s="3">
        <f>M382/M381</f>
        <v>0</v>
      </c>
    </row>
    <row r="384" spans="1:13">
      <c r="A384" t="s">
        <v>17</v>
      </c>
      <c r="C384" s="3">
        <v>0</v>
      </c>
      <c r="D384" s="3">
        <v>0</v>
      </c>
      <c r="E384" s="3">
        <v>0</v>
      </c>
      <c r="G384" s="3">
        <v>0</v>
      </c>
      <c r="H384" s="3">
        <v>0</v>
      </c>
      <c r="I384" s="3">
        <v>0</v>
      </c>
      <c r="K384" s="3">
        <v>0</v>
      </c>
      <c r="L384" s="3">
        <v>0</v>
      </c>
      <c r="M384" s="3">
        <v>0</v>
      </c>
    </row>
    <row r="385" spans="1:13">
      <c r="A385" t="s">
        <v>18</v>
      </c>
      <c r="C385" s="3">
        <v>0</v>
      </c>
      <c r="D385" s="3">
        <v>0</v>
      </c>
      <c r="E385" s="3">
        <v>0</v>
      </c>
      <c r="G385" s="3">
        <v>0</v>
      </c>
      <c r="H385" s="3">
        <v>0</v>
      </c>
      <c r="I385" s="3">
        <v>0</v>
      </c>
      <c r="K385" s="3">
        <v>0</v>
      </c>
      <c r="L385" s="3">
        <v>0</v>
      </c>
      <c r="M385" s="3">
        <v>0</v>
      </c>
    </row>
    <row r="386" spans="1:13">
      <c r="A386" t="s">
        <v>19</v>
      </c>
      <c r="C386" s="3">
        <f>C382*C385*C384-C384</f>
        <v>0</v>
      </c>
      <c r="D386" s="3">
        <f>D382*D385*D384-D384</f>
        <v>0</v>
      </c>
      <c r="E386" s="3">
        <f>E382*E385*E384-E384</f>
        <v>0</v>
      </c>
      <c r="G386" s="3">
        <f>G382*G385*G384-G384</f>
        <v>0</v>
      </c>
      <c r="H386" s="3">
        <f>H382*H385*H384-H384</f>
        <v>0</v>
      </c>
      <c r="I386" s="3">
        <f>I382*I385*I384-I384</f>
        <v>0</v>
      </c>
      <c r="K386" s="3">
        <f>K382*K385*K384-K384</f>
        <v>0</v>
      </c>
      <c r="L386" s="3">
        <f>L382*L385*L384-L384</f>
        <v>0</v>
      </c>
      <c r="M386" s="3">
        <f>M382*M385*M384-M384</f>
        <v>0</v>
      </c>
    </row>
    <row r="388" spans="1:13">
      <c r="A388" s="1" t="s">
        <v>26</v>
      </c>
      <c r="C388" s="1" t="s">
        <v>1</v>
      </c>
      <c r="E388" s="1">
        <f>0+C395+D395+E395 + E379</f>
        <v>0</v>
      </c>
      <c r="G388" s="1" t="s">
        <v>2</v>
      </c>
      <c r="I388" s="1">
        <f>0+G395+H395+I395 + I379</f>
        <v>0</v>
      </c>
      <c r="K388" s="1" t="s">
        <v>3</v>
      </c>
      <c r="M388" s="1">
        <f>0+K395+L395+M395 + M379</f>
        <v>0</v>
      </c>
    </row>
    <row r="389" spans="1:13">
      <c r="A389" t="s">
        <v>66</v>
      </c>
      <c r="C389" s="2" t="s">
        <v>5</v>
      </c>
      <c r="D389" s="2" t="s">
        <v>6</v>
      </c>
      <c r="E389" s="2" t="s">
        <v>7</v>
      </c>
      <c r="G389" s="2" t="s">
        <v>8</v>
      </c>
      <c r="H389" s="2" t="s">
        <v>9</v>
      </c>
      <c r="I389" s="2" t="s">
        <v>10</v>
      </c>
      <c r="K389" s="2" t="s">
        <v>11</v>
      </c>
      <c r="L389" s="2" t="s">
        <v>12</v>
      </c>
      <c r="M389" s="2" t="s">
        <v>13</v>
      </c>
    </row>
    <row r="390" spans="1:13">
      <c r="A390" t="s">
        <v>14</v>
      </c>
      <c r="C390" s="3">
        <v>1.6359999999999999</v>
      </c>
      <c r="D390" s="3">
        <v>4.3529999999999998</v>
      </c>
      <c r="E390" s="3">
        <v>9.5039999999999996</v>
      </c>
      <c r="G390" s="3">
        <v>1.9610000000000001</v>
      </c>
      <c r="H390" s="3">
        <v>5.556</v>
      </c>
      <c r="I390" s="3">
        <v>14.398</v>
      </c>
      <c r="K390" s="3">
        <v>2.004</v>
      </c>
      <c r="L390" s="3">
        <v>7.8369999999999997</v>
      </c>
      <c r="M390" s="3">
        <v>4.3650000000000002</v>
      </c>
    </row>
    <row r="391" spans="1:13">
      <c r="A391" t="s">
        <v>15</v>
      </c>
      <c r="C391" s="3">
        <v>0</v>
      </c>
      <c r="D391" s="3">
        <v>0</v>
      </c>
      <c r="E391" s="3">
        <v>0</v>
      </c>
      <c r="G391" s="3">
        <v>0</v>
      </c>
      <c r="H391" s="3">
        <v>0</v>
      </c>
      <c r="I391" s="3">
        <v>0</v>
      </c>
      <c r="K391" s="3">
        <v>0</v>
      </c>
      <c r="L391" s="3">
        <v>0</v>
      </c>
      <c r="M391" s="3">
        <v>0</v>
      </c>
    </row>
    <row r="392" spans="1:13">
      <c r="A392" t="s">
        <v>16</v>
      </c>
      <c r="C392" s="3">
        <f>C391/C390</f>
        <v>0</v>
      </c>
      <c r="D392" s="3">
        <f>D391/D390</f>
        <v>0</v>
      </c>
      <c r="E392" s="3">
        <f>E391/E390</f>
        <v>0</v>
      </c>
      <c r="G392" s="3">
        <f>G391/G390</f>
        <v>0</v>
      </c>
      <c r="H392" s="3">
        <f>H391/H390</f>
        <v>0</v>
      </c>
      <c r="I392" s="3">
        <f>I391/I390</f>
        <v>0</v>
      </c>
      <c r="K392" s="3">
        <f>K391/K390</f>
        <v>0</v>
      </c>
      <c r="L392" s="3">
        <f>L391/L390</f>
        <v>0</v>
      </c>
      <c r="M392" s="3">
        <f>M391/M390</f>
        <v>0</v>
      </c>
    </row>
    <row r="393" spans="1:13">
      <c r="A393" t="s">
        <v>17</v>
      </c>
      <c r="C393" s="3">
        <v>0</v>
      </c>
      <c r="D393" s="3">
        <v>0</v>
      </c>
      <c r="E393" s="3">
        <v>0</v>
      </c>
      <c r="G393" s="3">
        <v>0</v>
      </c>
      <c r="H393" s="3">
        <v>0</v>
      </c>
      <c r="I393" s="3">
        <v>0</v>
      </c>
      <c r="K393" s="3">
        <v>0</v>
      </c>
      <c r="L393" s="3">
        <v>0</v>
      </c>
      <c r="M393" s="3">
        <v>0</v>
      </c>
    </row>
    <row r="394" spans="1:13">
      <c r="A394" t="s">
        <v>18</v>
      </c>
      <c r="C394" s="3">
        <v>0</v>
      </c>
      <c r="D394" s="3">
        <v>0</v>
      </c>
      <c r="E394" s="3">
        <v>0</v>
      </c>
      <c r="G394" s="3">
        <v>0</v>
      </c>
      <c r="H394" s="3">
        <v>0</v>
      </c>
      <c r="I394" s="3">
        <v>0</v>
      </c>
      <c r="K394" s="3">
        <v>0</v>
      </c>
      <c r="L394" s="3">
        <v>0</v>
      </c>
      <c r="M394" s="3">
        <v>0</v>
      </c>
    </row>
    <row r="395" spans="1:13">
      <c r="A395" t="s">
        <v>19</v>
      </c>
      <c r="C395" s="3">
        <f>C391*C394*C393-C393</f>
        <v>0</v>
      </c>
      <c r="D395" s="3">
        <f>D391*D394*D393-D393</f>
        <v>0</v>
      </c>
      <c r="E395" s="3">
        <f>E391*E394*E393-E393</f>
        <v>0</v>
      </c>
      <c r="G395" s="3">
        <f>G391*G394*G393-G393</f>
        <v>0</v>
      </c>
      <c r="H395" s="3">
        <f>H391*H394*H393-H393</f>
        <v>0</v>
      </c>
      <c r="I395" s="3">
        <f>I391*I394*I393-I393</f>
        <v>0</v>
      </c>
      <c r="K395" s="3">
        <f>K391*K394*K393-K393</f>
        <v>0</v>
      </c>
      <c r="L395" s="3">
        <f>L391*L394*L393-L393</f>
        <v>0</v>
      </c>
      <c r="M395" s="3">
        <f>M391*M394*M393-M393</f>
        <v>0</v>
      </c>
    </row>
    <row r="397" spans="1:13">
      <c r="A397" s="1" t="s">
        <v>26</v>
      </c>
      <c r="C397" s="1" t="s">
        <v>1</v>
      </c>
      <c r="E397" s="1">
        <f>0+C404+D404+E404 + E388</f>
        <v>0</v>
      </c>
      <c r="G397" s="1" t="s">
        <v>2</v>
      </c>
      <c r="I397" s="1">
        <f>0+G404+H404+I404 + I388</f>
        <v>0</v>
      </c>
      <c r="K397" s="1" t="s">
        <v>3</v>
      </c>
      <c r="M397" s="1">
        <f>0+K404+L404+M404 + M388</f>
        <v>0</v>
      </c>
    </row>
    <row r="398" spans="1:13">
      <c r="A398" t="s">
        <v>67</v>
      </c>
      <c r="C398" s="2" t="s">
        <v>5</v>
      </c>
      <c r="D398" s="2" t="s">
        <v>6</v>
      </c>
      <c r="E398" s="2" t="s">
        <v>7</v>
      </c>
      <c r="G398" s="2" t="s">
        <v>8</v>
      </c>
      <c r="H398" s="2" t="s">
        <v>9</v>
      </c>
      <c r="I398" s="2" t="s">
        <v>10</v>
      </c>
      <c r="K398" s="2" t="s">
        <v>11</v>
      </c>
      <c r="L398" s="2" t="s">
        <v>12</v>
      </c>
      <c r="M398" s="2" t="s">
        <v>13</v>
      </c>
    </row>
    <row r="399" spans="1:13">
      <c r="A399" t="s">
        <v>14</v>
      </c>
      <c r="C399" s="3">
        <v>2.347</v>
      </c>
      <c r="D399" s="3">
        <v>22.257999999999999</v>
      </c>
      <c r="E399" s="3">
        <v>13.728</v>
      </c>
      <c r="G399" s="3">
        <v>11.619</v>
      </c>
      <c r="H399" s="3">
        <v>1.337</v>
      </c>
      <c r="I399" s="3">
        <v>4.8109999999999999</v>
      </c>
      <c r="K399" s="3">
        <v>1.3380000000000001</v>
      </c>
      <c r="L399" s="3">
        <v>22.701000000000001</v>
      </c>
      <c r="M399" s="3">
        <v>8.9030000000000005</v>
      </c>
    </row>
    <row r="400" spans="1:13">
      <c r="A400" t="s">
        <v>15</v>
      </c>
      <c r="C400" s="3">
        <v>0</v>
      </c>
      <c r="D400" s="3">
        <v>0</v>
      </c>
      <c r="E400" s="3">
        <v>0</v>
      </c>
      <c r="G400" s="3">
        <v>0</v>
      </c>
      <c r="H400" s="3">
        <v>0</v>
      </c>
      <c r="I400" s="3">
        <v>0</v>
      </c>
      <c r="K400" s="3">
        <v>0</v>
      </c>
      <c r="L400" s="3">
        <v>0</v>
      </c>
      <c r="M400" s="3">
        <v>0</v>
      </c>
    </row>
    <row r="401" spans="1:13">
      <c r="A401" t="s">
        <v>16</v>
      </c>
      <c r="C401" s="3">
        <f>C400/C399</f>
        <v>0</v>
      </c>
      <c r="D401" s="3">
        <f>D400/D399</f>
        <v>0</v>
      </c>
      <c r="E401" s="3">
        <f>E400/E399</f>
        <v>0</v>
      </c>
      <c r="G401" s="3">
        <f>G400/G399</f>
        <v>0</v>
      </c>
      <c r="H401" s="3">
        <f>H400/H399</f>
        <v>0</v>
      </c>
      <c r="I401" s="3">
        <f>I400/I399</f>
        <v>0</v>
      </c>
      <c r="K401" s="3">
        <f>K400/K399</f>
        <v>0</v>
      </c>
      <c r="L401" s="3">
        <f>L400/L399</f>
        <v>0</v>
      </c>
      <c r="M401" s="3">
        <f>M400/M399</f>
        <v>0</v>
      </c>
    </row>
    <row r="402" spans="1:13">
      <c r="A402" t="s">
        <v>17</v>
      </c>
      <c r="C402" s="3">
        <v>0</v>
      </c>
      <c r="D402" s="3">
        <v>0</v>
      </c>
      <c r="E402" s="3">
        <v>0</v>
      </c>
      <c r="G402" s="3">
        <v>0</v>
      </c>
      <c r="H402" s="3">
        <v>0</v>
      </c>
      <c r="I402" s="3">
        <v>0</v>
      </c>
      <c r="K402" s="3">
        <v>0</v>
      </c>
      <c r="L402" s="3">
        <v>0</v>
      </c>
      <c r="M402" s="3">
        <v>0</v>
      </c>
    </row>
    <row r="403" spans="1:13">
      <c r="A403" t="s">
        <v>18</v>
      </c>
      <c r="C403" s="3">
        <v>0</v>
      </c>
      <c r="D403" s="3">
        <v>0</v>
      </c>
      <c r="E403" s="3">
        <v>0</v>
      </c>
      <c r="G403" s="3">
        <v>0</v>
      </c>
      <c r="H403" s="3">
        <v>0</v>
      </c>
      <c r="I403" s="3">
        <v>0</v>
      </c>
      <c r="K403" s="3">
        <v>0</v>
      </c>
      <c r="L403" s="3">
        <v>0</v>
      </c>
      <c r="M403" s="3">
        <v>0</v>
      </c>
    </row>
    <row r="404" spans="1:13">
      <c r="A404" t="s">
        <v>19</v>
      </c>
      <c r="C404" s="3">
        <f>C400*C403*C402-C402</f>
        <v>0</v>
      </c>
      <c r="D404" s="3">
        <f>D400*D403*D402-D402</f>
        <v>0</v>
      </c>
      <c r="E404" s="3">
        <f>E400*E403*E402-E402</f>
        <v>0</v>
      </c>
      <c r="G404" s="3">
        <f>G400*G403*G402-G402</f>
        <v>0</v>
      </c>
      <c r="H404" s="3">
        <f>H400*H403*H402-H402</f>
        <v>0</v>
      </c>
      <c r="I404" s="3">
        <f>I400*I403*I402-I402</f>
        <v>0</v>
      </c>
      <c r="K404" s="3">
        <f>K400*K403*K402-K402</f>
        <v>0</v>
      </c>
      <c r="L404" s="3">
        <f>L400*L403*L402-L402</f>
        <v>0</v>
      </c>
      <c r="M404" s="3">
        <f>M400*M403*M402-M402</f>
        <v>0</v>
      </c>
    </row>
    <row r="406" spans="1:13">
      <c r="A406" s="1" t="s">
        <v>26</v>
      </c>
      <c r="C406" s="1" t="s">
        <v>1</v>
      </c>
      <c r="E406" s="1">
        <f>0+C413+D413+E413 + E397</f>
        <v>0</v>
      </c>
      <c r="G406" s="1" t="s">
        <v>2</v>
      </c>
      <c r="I406" s="1">
        <f>0+G413+H413+I413 + I397</f>
        <v>0</v>
      </c>
      <c r="K406" s="1" t="s">
        <v>3</v>
      </c>
      <c r="M406" s="1">
        <f>0+K413+L413+M413 + M397</f>
        <v>0</v>
      </c>
    </row>
    <row r="407" spans="1:13">
      <c r="A407" t="s">
        <v>68</v>
      </c>
      <c r="C407" s="2" t="s">
        <v>5</v>
      </c>
      <c r="D407" s="2" t="s">
        <v>6</v>
      </c>
      <c r="E407" s="2" t="s">
        <v>7</v>
      </c>
      <c r="G407" s="2" t="s">
        <v>8</v>
      </c>
      <c r="H407" s="2" t="s">
        <v>9</v>
      </c>
      <c r="I407" s="2" t="s">
        <v>10</v>
      </c>
      <c r="K407" s="2" t="s">
        <v>11</v>
      </c>
      <c r="L407" s="2" t="s">
        <v>12</v>
      </c>
      <c r="M407" s="2" t="s">
        <v>13</v>
      </c>
    </row>
    <row r="408" spans="1:13">
      <c r="A408" t="s">
        <v>14</v>
      </c>
      <c r="C408" s="3">
        <v>1.9910000000000001</v>
      </c>
      <c r="D408" s="3">
        <v>1.335</v>
      </c>
      <c r="E408" s="3">
        <v>27.936</v>
      </c>
      <c r="G408" s="3">
        <v>2.2679999999999998</v>
      </c>
      <c r="H408" s="3">
        <v>4.5990000000000002</v>
      </c>
      <c r="I408" s="3">
        <v>27.318000000000001</v>
      </c>
      <c r="K408" s="3">
        <v>1.1599999999999999</v>
      </c>
      <c r="L408" s="3">
        <v>8.9060000000000006</v>
      </c>
      <c r="M408" s="3">
        <v>5.7450000000000001</v>
      </c>
    </row>
    <row r="409" spans="1:13">
      <c r="A409" t="s">
        <v>15</v>
      </c>
      <c r="C409" s="3">
        <v>0</v>
      </c>
      <c r="D409" s="3">
        <v>0</v>
      </c>
      <c r="E409" s="3">
        <v>0</v>
      </c>
      <c r="G409" s="3">
        <v>0</v>
      </c>
      <c r="H409" s="3">
        <v>0</v>
      </c>
      <c r="I409" s="3">
        <v>0</v>
      </c>
      <c r="K409" s="3">
        <v>0</v>
      </c>
      <c r="L409" s="3">
        <v>0</v>
      </c>
      <c r="M409" s="3">
        <v>0</v>
      </c>
    </row>
    <row r="410" spans="1:13">
      <c r="A410" t="s">
        <v>16</v>
      </c>
      <c r="C410" s="3">
        <f>C409/C408</f>
        <v>0</v>
      </c>
      <c r="D410" s="3">
        <f>D409/D408</f>
        <v>0</v>
      </c>
      <c r="E410" s="3">
        <f>E409/E408</f>
        <v>0</v>
      </c>
      <c r="G410" s="3">
        <f>G409/G408</f>
        <v>0</v>
      </c>
      <c r="H410" s="3">
        <f>H409/H408</f>
        <v>0</v>
      </c>
      <c r="I410" s="3">
        <f>I409/I408</f>
        <v>0</v>
      </c>
      <c r="K410" s="3">
        <f>K409/K408</f>
        <v>0</v>
      </c>
      <c r="L410" s="3">
        <f>L409/L408</f>
        <v>0</v>
      </c>
      <c r="M410" s="3">
        <f>M409/M408</f>
        <v>0</v>
      </c>
    </row>
    <row r="411" spans="1:13">
      <c r="A411" t="s">
        <v>17</v>
      </c>
      <c r="C411" s="3">
        <v>0</v>
      </c>
      <c r="D411" s="3">
        <v>0</v>
      </c>
      <c r="E411" s="3">
        <v>0</v>
      </c>
      <c r="G411" s="3">
        <v>0</v>
      </c>
      <c r="H411" s="3">
        <v>0</v>
      </c>
      <c r="I411" s="3">
        <v>0</v>
      </c>
      <c r="K411" s="3">
        <v>0</v>
      </c>
      <c r="L411" s="3">
        <v>0</v>
      </c>
      <c r="M411" s="3">
        <v>0</v>
      </c>
    </row>
    <row r="412" spans="1:13">
      <c r="A412" t="s">
        <v>18</v>
      </c>
      <c r="C412" s="3">
        <v>0</v>
      </c>
      <c r="D412" s="3">
        <v>0</v>
      </c>
      <c r="E412" s="3">
        <v>0</v>
      </c>
      <c r="G412" s="3">
        <v>0</v>
      </c>
      <c r="H412" s="3">
        <v>0</v>
      </c>
      <c r="I412" s="3">
        <v>0</v>
      </c>
      <c r="K412" s="3">
        <v>0</v>
      </c>
      <c r="L412" s="3">
        <v>0</v>
      </c>
      <c r="M412" s="3">
        <v>0</v>
      </c>
    </row>
    <row r="413" spans="1:13">
      <c r="A413" t="s">
        <v>19</v>
      </c>
      <c r="C413" s="3">
        <f>C409*C412*C411-C411</f>
        <v>0</v>
      </c>
      <c r="D413" s="3">
        <f>D409*D412*D411-D411</f>
        <v>0</v>
      </c>
      <c r="E413" s="3">
        <f>E409*E412*E411-E411</f>
        <v>0</v>
      </c>
      <c r="G413" s="3">
        <f>G409*G412*G411-G411</f>
        <v>0</v>
      </c>
      <c r="H413" s="3">
        <f>H409*H412*H411-H411</f>
        <v>0</v>
      </c>
      <c r="I413" s="3">
        <f>I409*I412*I411-I411</f>
        <v>0</v>
      </c>
      <c r="K413" s="3">
        <f>K409*K412*K411-K411</f>
        <v>0</v>
      </c>
      <c r="L413" s="3">
        <f>L409*L412*L411-L411</f>
        <v>0</v>
      </c>
      <c r="M413" s="3">
        <f>M409*M412*M411-M411</f>
        <v>0</v>
      </c>
    </row>
    <row r="415" spans="1:13">
      <c r="A415" s="1" t="s">
        <v>26</v>
      </c>
      <c r="C415" s="1" t="s">
        <v>1</v>
      </c>
      <c r="E415" s="1">
        <f>0+C422+D422+E422 + E406</f>
        <v>0</v>
      </c>
      <c r="G415" s="1" t="s">
        <v>2</v>
      </c>
      <c r="I415" s="1">
        <f>0+G422+H422+I422 + I406</f>
        <v>0</v>
      </c>
      <c r="K415" s="1" t="s">
        <v>3</v>
      </c>
      <c r="M415" s="1">
        <f>0+K422+L422+M422 + M406</f>
        <v>0</v>
      </c>
    </row>
    <row r="416" spans="1:13">
      <c r="A416" t="s">
        <v>69</v>
      </c>
      <c r="C416" s="2" t="s">
        <v>5</v>
      </c>
      <c r="D416" s="2" t="s">
        <v>6</v>
      </c>
      <c r="E416" s="2" t="s">
        <v>7</v>
      </c>
      <c r="G416" s="2" t="s">
        <v>8</v>
      </c>
      <c r="H416" s="2" t="s">
        <v>9</v>
      </c>
      <c r="I416" s="2" t="s">
        <v>10</v>
      </c>
      <c r="K416" s="2" t="s">
        <v>11</v>
      </c>
      <c r="L416" s="2" t="s">
        <v>12</v>
      </c>
      <c r="M416" s="2" t="s">
        <v>13</v>
      </c>
    </row>
    <row r="417" spans="1:13">
      <c r="A417" t="s">
        <v>14</v>
      </c>
      <c r="C417" s="3">
        <v>7.7270000000000003</v>
      </c>
      <c r="D417" s="3">
        <v>1.968</v>
      </c>
      <c r="E417" s="3">
        <v>7.8689999999999998</v>
      </c>
      <c r="G417" s="3">
        <v>4.7990000000000004</v>
      </c>
      <c r="H417" s="3">
        <v>1.595</v>
      </c>
      <c r="I417" s="3">
        <v>7.8540000000000001</v>
      </c>
      <c r="K417" s="3">
        <v>3.0369999999999999</v>
      </c>
      <c r="L417" s="3">
        <v>25.890999999999998</v>
      </c>
      <c r="M417" s="3">
        <v>8.3379999999999992</v>
      </c>
    </row>
    <row r="418" spans="1:13">
      <c r="A418" t="s">
        <v>15</v>
      </c>
      <c r="C418" s="3">
        <v>0</v>
      </c>
      <c r="D418" s="3">
        <v>0</v>
      </c>
      <c r="E418" s="3">
        <v>0</v>
      </c>
      <c r="G418" s="3">
        <v>0</v>
      </c>
      <c r="H418" s="3">
        <v>0</v>
      </c>
      <c r="I418" s="3">
        <v>0</v>
      </c>
      <c r="K418" s="3">
        <v>0</v>
      </c>
      <c r="L418" s="3">
        <v>0</v>
      </c>
      <c r="M418" s="3">
        <v>0</v>
      </c>
    </row>
    <row r="419" spans="1:13">
      <c r="A419" t="s">
        <v>16</v>
      </c>
      <c r="C419" s="3">
        <f>C418/C417</f>
        <v>0</v>
      </c>
      <c r="D419" s="3">
        <f>D418/D417</f>
        <v>0</v>
      </c>
      <c r="E419" s="3">
        <f>E418/E417</f>
        <v>0</v>
      </c>
      <c r="G419" s="3">
        <f>G418/G417</f>
        <v>0</v>
      </c>
      <c r="H419" s="3">
        <f>H418/H417</f>
        <v>0</v>
      </c>
      <c r="I419" s="3">
        <f>I418/I417</f>
        <v>0</v>
      </c>
      <c r="K419" s="3">
        <f>K418/K417</f>
        <v>0</v>
      </c>
      <c r="L419" s="3">
        <f>L418/L417</f>
        <v>0</v>
      </c>
      <c r="M419" s="3">
        <f>M418/M417</f>
        <v>0</v>
      </c>
    </row>
    <row r="420" spans="1:13">
      <c r="A420" t="s">
        <v>17</v>
      </c>
      <c r="C420" s="3">
        <v>0</v>
      </c>
      <c r="D420" s="3">
        <v>0</v>
      </c>
      <c r="E420" s="3">
        <v>0</v>
      </c>
      <c r="G420" s="3">
        <v>0</v>
      </c>
      <c r="H420" s="3">
        <v>0</v>
      </c>
      <c r="I420" s="3">
        <v>0</v>
      </c>
      <c r="K420" s="3">
        <v>0</v>
      </c>
      <c r="L420" s="3">
        <v>0</v>
      </c>
      <c r="M420" s="3">
        <v>0</v>
      </c>
    </row>
    <row r="421" spans="1:13">
      <c r="A421" t="s">
        <v>18</v>
      </c>
      <c r="C421" s="3">
        <v>0</v>
      </c>
      <c r="D421" s="3">
        <v>0</v>
      </c>
      <c r="E421" s="3">
        <v>0</v>
      </c>
      <c r="G421" s="3">
        <v>0</v>
      </c>
      <c r="H421" s="3">
        <v>0</v>
      </c>
      <c r="I421" s="3">
        <v>0</v>
      </c>
      <c r="K421" s="3">
        <v>0</v>
      </c>
      <c r="L421" s="3">
        <v>0</v>
      </c>
      <c r="M421" s="3">
        <v>0</v>
      </c>
    </row>
    <row r="422" spans="1:13">
      <c r="A422" t="s">
        <v>19</v>
      </c>
      <c r="C422" s="3">
        <f>C418*C421*C420-C420</f>
        <v>0</v>
      </c>
      <c r="D422" s="3">
        <f>D418*D421*D420-D420</f>
        <v>0</v>
      </c>
      <c r="E422" s="3">
        <f>E418*E421*E420-E420</f>
        <v>0</v>
      </c>
      <c r="G422" s="3">
        <f>G418*G421*G420-G420</f>
        <v>0</v>
      </c>
      <c r="H422" s="3">
        <f>H418*H421*H420-H420</f>
        <v>0</v>
      </c>
      <c r="I422" s="3">
        <f>I418*I421*I420-I420</f>
        <v>0</v>
      </c>
      <c r="K422" s="3">
        <f>K418*K421*K420-K420</f>
        <v>0</v>
      </c>
      <c r="L422" s="3">
        <f>L418*L421*L420-L420</f>
        <v>0</v>
      </c>
      <c r="M422" s="3">
        <f>M418*M421*M420-M420</f>
        <v>0</v>
      </c>
    </row>
    <row r="424" spans="1:13">
      <c r="A424" s="1" t="s">
        <v>33</v>
      </c>
      <c r="C424" s="1" t="s">
        <v>1</v>
      </c>
      <c r="E424" s="1">
        <f>0+C431+D431+E431 + E415</f>
        <v>0</v>
      </c>
      <c r="G424" s="1" t="s">
        <v>2</v>
      </c>
      <c r="I424" s="1">
        <f>0+G431+H431+I431 + I415</f>
        <v>0</v>
      </c>
      <c r="K424" s="1" t="s">
        <v>3</v>
      </c>
      <c r="M424" s="1">
        <f>0+K431+L431+M431 + M415</f>
        <v>0</v>
      </c>
    </row>
    <row r="425" spans="1:13">
      <c r="A425" t="s">
        <v>70</v>
      </c>
      <c r="C425" s="2" t="s">
        <v>5</v>
      </c>
      <c r="D425" s="2" t="s">
        <v>6</v>
      </c>
      <c r="E425" s="2" t="s">
        <v>7</v>
      </c>
      <c r="G425" s="2" t="s">
        <v>8</v>
      </c>
      <c r="H425" s="2" t="s">
        <v>9</v>
      </c>
      <c r="I425" s="2" t="s">
        <v>10</v>
      </c>
      <c r="K425" s="2" t="s">
        <v>11</v>
      </c>
      <c r="L425" s="2" t="s">
        <v>12</v>
      </c>
      <c r="M425" s="2" t="s">
        <v>13</v>
      </c>
    </row>
    <row r="426" spans="1:13">
      <c r="A426" t="s">
        <v>14</v>
      </c>
      <c r="C426" s="3">
        <v>3.802</v>
      </c>
      <c r="D426" s="3">
        <v>2.3039999999999998</v>
      </c>
      <c r="E426" s="3">
        <v>8.6310000000000002</v>
      </c>
      <c r="G426" s="3">
        <v>1.181</v>
      </c>
      <c r="H426" s="3">
        <v>1.5089999999999999</v>
      </c>
      <c r="I426" s="3">
        <v>8.9320000000000004</v>
      </c>
      <c r="K426" s="3">
        <v>1.7390000000000001</v>
      </c>
      <c r="L426" s="3">
        <v>10.288</v>
      </c>
      <c r="M426" s="3">
        <v>2.9329999999999998</v>
      </c>
    </row>
    <row r="427" spans="1:13">
      <c r="A427" t="s">
        <v>15</v>
      </c>
      <c r="C427" s="3">
        <v>0</v>
      </c>
      <c r="D427" s="3">
        <v>0</v>
      </c>
      <c r="E427" s="3">
        <v>0</v>
      </c>
      <c r="G427" s="3">
        <v>0</v>
      </c>
      <c r="H427" s="3">
        <v>0</v>
      </c>
      <c r="I427" s="3">
        <v>0</v>
      </c>
      <c r="K427" s="3">
        <v>0</v>
      </c>
      <c r="L427" s="3">
        <v>0</v>
      </c>
      <c r="M427" s="3">
        <v>0</v>
      </c>
    </row>
    <row r="428" spans="1:13">
      <c r="A428" t="s">
        <v>16</v>
      </c>
      <c r="C428" s="3">
        <f>C427/C426</f>
        <v>0</v>
      </c>
      <c r="D428" s="3">
        <f>D427/D426</f>
        <v>0</v>
      </c>
      <c r="E428" s="3">
        <f>E427/E426</f>
        <v>0</v>
      </c>
      <c r="G428" s="3">
        <f>G427/G426</f>
        <v>0</v>
      </c>
      <c r="H428" s="3">
        <f>H427/H426</f>
        <v>0</v>
      </c>
      <c r="I428" s="3">
        <f>I427/I426</f>
        <v>0</v>
      </c>
      <c r="K428" s="3">
        <f>K427/K426</f>
        <v>0</v>
      </c>
      <c r="L428" s="3">
        <f>L427/L426</f>
        <v>0</v>
      </c>
      <c r="M428" s="3">
        <f>M427/M426</f>
        <v>0</v>
      </c>
    </row>
    <row r="429" spans="1:13">
      <c r="A429" t="s">
        <v>17</v>
      </c>
      <c r="C429" s="3">
        <v>0</v>
      </c>
      <c r="D429" s="3">
        <v>0</v>
      </c>
      <c r="E429" s="3">
        <v>0</v>
      </c>
      <c r="G429" s="3">
        <v>0</v>
      </c>
      <c r="H429" s="3">
        <v>0</v>
      </c>
      <c r="I429" s="3">
        <v>0</v>
      </c>
      <c r="K429" s="3">
        <v>0</v>
      </c>
      <c r="L429" s="3">
        <v>0</v>
      </c>
      <c r="M429" s="3">
        <v>0</v>
      </c>
    </row>
    <row r="430" spans="1:13">
      <c r="A430" t="s">
        <v>18</v>
      </c>
      <c r="C430" s="3">
        <v>0</v>
      </c>
      <c r="D430" s="3">
        <v>0</v>
      </c>
      <c r="E430" s="3">
        <v>0</v>
      </c>
      <c r="G430" s="3">
        <v>0</v>
      </c>
      <c r="H430" s="3">
        <v>0</v>
      </c>
      <c r="I430" s="3">
        <v>0</v>
      </c>
      <c r="K430" s="3">
        <v>0</v>
      </c>
      <c r="L430" s="3">
        <v>0</v>
      </c>
      <c r="M430" s="3">
        <v>0</v>
      </c>
    </row>
    <row r="431" spans="1:13">
      <c r="A431" t="s">
        <v>19</v>
      </c>
      <c r="C431" s="3">
        <f>C427*C430*C429-C429</f>
        <v>0</v>
      </c>
      <c r="D431" s="3">
        <f>D427*D430*D429-D429</f>
        <v>0</v>
      </c>
      <c r="E431" s="3">
        <f>E427*E430*E429-E429</f>
        <v>0</v>
      </c>
      <c r="G431" s="3">
        <f>G427*G430*G429-G429</f>
        <v>0</v>
      </c>
      <c r="H431" s="3">
        <f>H427*H430*H429-H429</f>
        <v>0</v>
      </c>
      <c r="I431" s="3">
        <f>I427*I430*I429-I429</f>
        <v>0</v>
      </c>
      <c r="K431" s="3">
        <f>K427*K430*K429-K429</f>
        <v>0</v>
      </c>
      <c r="L431" s="3">
        <f>L427*L430*L429-L429</f>
        <v>0</v>
      </c>
      <c r="M431" s="3">
        <f>M427*M430*M429-M429</f>
        <v>0</v>
      </c>
    </row>
    <row r="433" spans="1:13">
      <c r="A433" s="1" t="s">
        <v>33</v>
      </c>
      <c r="C433" s="1" t="s">
        <v>1</v>
      </c>
      <c r="E433" s="1">
        <f>0+C440+D440+E440 + E424</f>
        <v>0</v>
      </c>
      <c r="G433" s="1" t="s">
        <v>2</v>
      </c>
      <c r="I433" s="1">
        <f>0+G440+H440+I440 + I424</f>
        <v>0</v>
      </c>
      <c r="K433" s="1" t="s">
        <v>3</v>
      </c>
      <c r="M433" s="1">
        <f>0+K440+L440+M440 + M424</f>
        <v>0</v>
      </c>
    </row>
    <row r="434" spans="1:13">
      <c r="A434" t="s">
        <v>71</v>
      </c>
      <c r="C434" s="2" t="s">
        <v>5</v>
      </c>
      <c r="D434" s="2" t="s">
        <v>6</v>
      </c>
      <c r="E434" s="2" t="s">
        <v>7</v>
      </c>
      <c r="G434" s="2" t="s">
        <v>8</v>
      </c>
      <c r="H434" s="2" t="s">
        <v>9</v>
      </c>
      <c r="I434" s="2" t="s">
        <v>10</v>
      </c>
      <c r="K434" s="2" t="s">
        <v>11</v>
      </c>
      <c r="L434" s="2" t="s">
        <v>12</v>
      </c>
      <c r="M434" s="2" t="s">
        <v>13</v>
      </c>
    </row>
    <row r="435" spans="1:13">
      <c r="A435" t="s">
        <v>14</v>
      </c>
      <c r="C435" s="3">
        <v>1.4530000000000001</v>
      </c>
      <c r="D435" s="3">
        <v>5.2619999999999996</v>
      </c>
      <c r="E435" s="3">
        <v>3.9159999999999999</v>
      </c>
      <c r="G435" s="3">
        <v>14.711</v>
      </c>
      <c r="H435" s="3">
        <v>2.222</v>
      </c>
      <c r="I435" s="3">
        <v>3.5590000000000002</v>
      </c>
      <c r="K435" s="3">
        <v>2.3290000000000002</v>
      </c>
      <c r="L435" s="3">
        <v>1.0569999999999999</v>
      </c>
      <c r="M435" s="3">
        <v>12.276</v>
      </c>
    </row>
    <row r="436" spans="1:13">
      <c r="A436" t="s">
        <v>15</v>
      </c>
      <c r="C436" s="3">
        <v>0</v>
      </c>
      <c r="D436" s="3">
        <v>0</v>
      </c>
      <c r="E436" s="3">
        <v>0</v>
      </c>
      <c r="G436" s="3">
        <v>0</v>
      </c>
      <c r="H436" s="3">
        <v>0</v>
      </c>
      <c r="I436" s="3">
        <v>0</v>
      </c>
      <c r="K436" s="3">
        <v>0</v>
      </c>
      <c r="L436" s="3">
        <v>0</v>
      </c>
      <c r="M436" s="3">
        <v>0</v>
      </c>
    </row>
    <row r="437" spans="1:13">
      <c r="A437" t="s">
        <v>16</v>
      </c>
      <c r="C437" s="3">
        <f>C436/C435</f>
        <v>0</v>
      </c>
      <c r="D437" s="3">
        <f>D436/D435</f>
        <v>0</v>
      </c>
      <c r="E437" s="3">
        <f>E436/E435</f>
        <v>0</v>
      </c>
      <c r="G437" s="3">
        <f>G436/G435</f>
        <v>0</v>
      </c>
      <c r="H437" s="3">
        <f>H436/H435</f>
        <v>0</v>
      </c>
      <c r="I437" s="3">
        <f>I436/I435</f>
        <v>0</v>
      </c>
      <c r="K437" s="3">
        <f>K436/K435</f>
        <v>0</v>
      </c>
      <c r="L437" s="3">
        <f>L436/L435</f>
        <v>0</v>
      </c>
      <c r="M437" s="3">
        <f>M436/M435</f>
        <v>0</v>
      </c>
    </row>
    <row r="438" spans="1:13">
      <c r="A438" t="s">
        <v>17</v>
      </c>
      <c r="C438" s="3">
        <v>0</v>
      </c>
      <c r="D438" s="3">
        <v>0</v>
      </c>
      <c r="E438" s="3">
        <v>0</v>
      </c>
      <c r="G438" s="3">
        <v>0</v>
      </c>
      <c r="H438" s="3">
        <v>0</v>
      </c>
      <c r="I438" s="3">
        <v>0</v>
      </c>
      <c r="K438" s="3">
        <v>0</v>
      </c>
      <c r="L438" s="3">
        <v>0</v>
      </c>
      <c r="M438" s="3">
        <v>0</v>
      </c>
    </row>
    <row r="439" spans="1:13">
      <c r="A439" t="s">
        <v>18</v>
      </c>
      <c r="C439" s="3">
        <v>0</v>
      </c>
      <c r="D439" s="3">
        <v>0</v>
      </c>
      <c r="E439" s="3">
        <v>0</v>
      </c>
      <c r="G439" s="3">
        <v>0</v>
      </c>
      <c r="H439" s="3">
        <v>0</v>
      </c>
      <c r="I439" s="3">
        <v>0</v>
      </c>
      <c r="K439" s="3">
        <v>0</v>
      </c>
      <c r="L439" s="3">
        <v>0</v>
      </c>
      <c r="M439" s="3">
        <v>0</v>
      </c>
    </row>
    <row r="440" spans="1:13">
      <c r="A440" t="s">
        <v>19</v>
      </c>
      <c r="C440" s="3">
        <f>C436*C439*C438-C438</f>
        <v>0</v>
      </c>
      <c r="D440" s="3">
        <f>D436*D439*D438-D438</f>
        <v>0</v>
      </c>
      <c r="E440" s="3">
        <f>E436*E439*E438-E438</f>
        <v>0</v>
      </c>
      <c r="G440" s="3">
        <f>G436*G439*G438-G438</f>
        <v>0</v>
      </c>
      <c r="H440" s="3">
        <f>H436*H439*H438-H438</f>
        <v>0</v>
      </c>
      <c r="I440" s="3">
        <f>I436*I439*I438-I438</f>
        <v>0</v>
      </c>
      <c r="K440" s="3">
        <f>K436*K439*K438-K438</f>
        <v>0</v>
      </c>
      <c r="L440" s="3">
        <f>L436*L439*L438-L438</f>
        <v>0</v>
      </c>
      <c r="M440" s="3">
        <f>M436*M439*M438-M438</f>
        <v>0</v>
      </c>
    </row>
    <row r="442" spans="1:13">
      <c r="A442" s="1" t="s">
        <v>33</v>
      </c>
      <c r="C442" s="1" t="s">
        <v>1</v>
      </c>
      <c r="E442" s="1">
        <f>0+C449+D449+E449 + E433</f>
        <v>0</v>
      </c>
      <c r="G442" s="1" t="s">
        <v>2</v>
      </c>
      <c r="I442" s="1">
        <f>0+G449+H449+I449 + I433</f>
        <v>0</v>
      </c>
      <c r="K442" s="1" t="s">
        <v>3</v>
      </c>
      <c r="M442" s="1">
        <f>0+K449+L449+M449 + M433</f>
        <v>0</v>
      </c>
    </row>
    <row r="443" spans="1:13">
      <c r="A443" t="s">
        <v>72</v>
      </c>
      <c r="C443" s="2" t="s">
        <v>5</v>
      </c>
      <c r="D443" s="2" t="s">
        <v>6</v>
      </c>
      <c r="E443" s="2" t="s">
        <v>7</v>
      </c>
      <c r="G443" s="2" t="s">
        <v>8</v>
      </c>
      <c r="H443" s="2" t="s">
        <v>9</v>
      </c>
      <c r="I443" s="2" t="s">
        <v>10</v>
      </c>
      <c r="K443" s="2" t="s">
        <v>11</v>
      </c>
      <c r="L443" s="2" t="s">
        <v>12</v>
      </c>
      <c r="M443" s="2" t="s">
        <v>13</v>
      </c>
    </row>
    <row r="444" spans="1:13">
      <c r="A444" t="s">
        <v>14</v>
      </c>
      <c r="C444" s="3">
        <v>5.5979999999999999</v>
      </c>
      <c r="D444" s="3">
        <v>9.1509999999999998</v>
      </c>
      <c r="E444" s="3">
        <v>1.625</v>
      </c>
      <c r="G444" s="3">
        <v>2.2589999999999999</v>
      </c>
      <c r="H444" s="3">
        <v>1.9810000000000001</v>
      </c>
      <c r="I444" s="3">
        <v>7.3109999999999999</v>
      </c>
      <c r="K444" s="3">
        <v>2.944</v>
      </c>
      <c r="L444" s="3">
        <v>7.923</v>
      </c>
      <c r="M444" s="3">
        <v>1.5609999999999999</v>
      </c>
    </row>
    <row r="445" spans="1:13">
      <c r="A445" t="s">
        <v>15</v>
      </c>
      <c r="C445" s="3">
        <v>0</v>
      </c>
      <c r="D445" s="3">
        <v>0</v>
      </c>
      <c r="E445" s="3">
        <v>0</v>
      </c>
      <c r="G445" s="3">
        <v>0</v>
      </c>
      <c r="H445" s="3">
        <v>0</v>
      </c>
      <c r="I445" s="3">
        <v>0</v>
      </c>
      <c r="K445" s="3">
        <v>0</v>
      </c>
      <c r="L445" s="3">
        <v>0</v>
      </c>
      <c r="M445" s="3">
        <v>0</v>
      </c>
    </row>
    <row r="446" spans="1:13">
      <c r="A446" t="s">
        <v>16</v>
      </c>
      <c r="C446" s="3">
        <f>C445/C444</f>
        <v>0</v>
      </c>
      <c r="D446" s="3">
        <f>D445/D444</f>
        <v>0</v>
      </c>
      <c r="E446" s="3">
        <f>E445/E444</f>
        <v>0</v>
      </c>
      <c r="G446" s="3">
        <f>G445/G444</f>
        <v>0</v>
      </c>
      <c r="H446" s="3">
        <f>H445/H444</f>
        <v>0</v>
      </c>
      <c r="I446" s="3">
        <f>I445/I444</f>
        <v>0</v>
      </c>
      <c r="K446" s="3">
        <f>K445/K444</f>
        <v>0</v>
      </c>
      <c r="L446" s="3">
        <f>L445/L444</f>
        <v>0</v>
      </c>
      <c r="M446" s="3">
        <f>M445/M444</f>
        <v>0</v>
      </c>
    </row>
    <row r="447" spans="1:13">
      <c r="A447" t="s">
        <v>17</v>
      </c>
      <c r="C447" s="3">
        <v>0</v>
      </c>
      <c r="D447" s="3">
        <v>0</v>
      </c>
      <c r="E447" s="3">
        <v>0</v>
      </c>
      <c r="G447" s="3">
        <v>0</v>
      </c>
      <c r="H447" s="3">
        <v>0</v>
      </c>
      <c r="I447" s="3">
        <v>0</v>
      </c>
      <c r="K447" s="3">
        <v>0</v>
      </c>
      <c r="L447" s="3">
        <v>0</v>
      </c>
      <c r="M447" s="3">
        <v>0</v>
      </c>
    </row>
    <row r="448" spans="1:13">
      <c r="A448" t="s">
        <v>18</v>
      </c>
      <c r="C448" s="3">
        <v>0</v>
      </c>
      <c r="D448" s="3">
        <v>0</v>
      </c>
      <c r="E448" s="3">
        <v>0</v>
      </c>
      <c r="G448" s="3">
        <v>0</v>
      </c>
      <c r="H448" s="3">
        <v>0</v>
      </c>
      <c r="I448" s="3">
        <v>0</v>
      </c>
      <c r="K448" s="3">
        <v>0</v>
      </c>
      <c r="L448" s="3">
        <v>0</v>
      </c>
      <c r="M448" s="3">
        <v>0</v>
      </c>
    </row>
    <row r="449" spans="1:13">
      <c r="A449" t="s">
        <v>19</v>
      </c>
      <c r="C449" s="3">
        <f>C445*C448*C447-C447</f>
        <v>0</v>
      </c>
      <c r="D449" s="3">
        <f>D445*D448*D447-D447</f>
        <v>0</v>
      </c>
      <c r="E449" s="3">
        <f>E445*E448*E447-E447</f>
        <v>0</v>
      </c>
      <c r="G449" s="3">
        <f>G445*G448*G447-G447</f>
        <v>0</v>
      </c>
      <c r="H449" s="3">
        <f>H445*H448*H447-H447</f>
        <v>0</v>
      </c>
      <c r="I449" s="3">
        <f>I445*I448*I447-I447</f>
        <v>0</v>
      </c>
      <c r="K449" s="3">
        <f>K445*K448*K447-K447</f>
        <v>0</v>
      </c>
      <c r="L449" s="3">
        <f>L445*L448*L447-L447</f>
        <v>0</v>
      </c>
      <c r="M449" s="3">
        <f>M445*M448*M447-M447</f>
        <v>0</v>
      </c>
    </row>
    <row r="451" spans="1:13">
      <c r="A451" s="1" t="s">
        <v>33</v>
      </c>
      <c r="C451" s="1" t="s">
        <v>1</v>
      </c>
      <c r="E451" s="1">
        <f>0+C458+D458+E458 + E442</f>
        <v>0</v>
      </c>
      <c r="G451" s="1" t="s">
        <v>2</v>
      </c>
      <c r="I451" s="1">
        <f>0+G458+H458+I458 + I442</f>
        <v>0</v>
      </c>
      <c r="K451" s="1" t="s">
        <v>3</v>
      </c>
      <c r="M451" s="1">
        <f>0+K458+L458+M458 + M442</f>
        <v>0</v>
      </c>
    </row>
    <row r="452" spans="1:13">
      <c r="A452" t="s">
        <v>73</v>
      </c>
      <c r="C452" s="2" t="s">
        <v>5</v>
      </c>
      <c r="D452" s="2" t="s">
        <v>6</v>
      </c>
      <c r="E452" s="2" t="s">
        <v>7</v>
      </c>
      <c r="G452" s="2" t="s">
        <v>8</v>
      </c>
      <c r="H452" s="2" t="s">
        <v>9</v>
      </c>
      <c r="I452" s="2" t="s">
        <v>10</v>
      </c>
      <c r="K452" s="2" t="s">
        <v>11</v>
      </c>
      <c r="L452" s="2" t="s">
        <v>12</v>
      </c>
      <c r="M452" s="2" t="s">
        <v>13</v>
      </c>
    </row>
    <row r="453" spans="1:13">
      <c r="A453" t="s">
        <v>14</v>
      </c>
      <c r="C453" s="3">
        <v>3.4089999999999998</v>
      </c>
      <c r="D453" s="3">
        <v>4.242</v>
      </c>
      <c r="E453" s="3">
        <v>3.19</v>
      </c>
      <c r="G453" s="3">
        <v>2.738</v>
      </c>
      <c r="H453" s="3">
        <v>4.2249999999999996</v>
      </c>
      <c r="I453" s="3">
        <v>4.4139999999999997</v>
      </c>
      <c r="K453" s="3">
        <v>4.1539999999999999</v>
      </c>
      <c r="L453" s="3">
        <v>16.632999999999999</v>
      </c>
      <c r="M453" s="3">
        <v>2.504</v>
      </c>
    </row>
    <row r="454" spans="1:13">
      <c r="A454" t="s">
        <v>15</v>
      </c>
      <c r="C454" s="3">
        <v>0</v>
      </c>
      <c r="D454" s="3">
        <v>0</v>
      </c>
      <c r="E454" s="3">
        <v>0</v>
      </c>
      <c r="G454" s="3">
        <v>0</v>
      </c>
      <c r="H454" s="3">
        <v>0</v>
      </c>
      <c r="I454" s="3">
        <v>0</v>
      </c>
      <c r="K454" s="3">
        <v>0</v>
      </c>
      <c r="L454" s="3">
        <v>0</v>
      </c>
      <c r="M454" s="3">
        <v>0</v>
      </c>
    </row>
    <row r="455" spans="1:13">
      <c r="A455" t="s">
        <v>16</v>
      </c>
      <c r="C455" s="3">
        <f>C454/C453</f>
        <v>0</v>
      </c>
      <c r="D455" s="3">
        <f>D454/D453</f>
        <v>0</v>
      </c>
      <c r="E455" s="3">
        <f>E454/E453</f>
        <v>0</v>
      </c>
      <c r="G455" s="3">
        <f>G454/G453</f>
        <v>0</v>
      </c>
      <c r="H455" s="3">
        <f>H454/H453</f>
        <v>0</v>
      </c>
      <c r="I455" s="3">
        <f>I454/I453</f>
        <v>0</v>
      </c>
      <c r="K455" s="3">
        <f>K454/K453</f>
        <v>0</v>
      </c>
      <c r="L455" s="3">
        <f>L454/L453</f>
        <v>0</v>
      </c>
      <c r="M455" s="3">
        <f>M454/M453</f>
        <v>0</v>
      </c>
    </row>
    <row r="456" spans="1:13">
      <c r="A456" t="s">
        <v>17</v>
      </c>
      <c r="C456" s="3">
        <v>0</v>
      </c>
      <c r="D456" s="3">
        <v>0</v>
      </c>
      <c r="E456" s="3">
        <v>0</v>
      </c>
      <c r="G456" s="3">
        <v>0</v>
      </c>
      <c r="H456" s="3">
        <v>0</v>
      </c>
      <c r="I456" s="3">
        <v>0</v>
      </c>
      <c r="K456" s="3">
        <v>0</v>
      </c>
      <c r="L456" s="3">
        <v>0</v>
      </c>
      <c r="M456" s="3">
        <v>0</v>
      </c>
    </row>
    <row r="457" spans="1:13">
      <c r="A457" t="s">
        <v>18</v>
      </c>
      <c r="C457" s="3">
        <v>0</v>
      </c>
      <c r="D457" s="3">
        <v>0</v>
      </c>
      <c r="E457" s="3">
        <v>0</v>
      </c>
      <c r="G457" s="3">
        <v>0</v>
      </c>
      <c r="H457" s="3">
        <v>0</v>
      </c>
      <c r="I457" s="3">
        <v>0</v>
      </c>
      <c r="K457" s="3">
        <v>0</v>
      </c>
      <c r="L457" s="3">
        <v>0</v>
      </c>
      <c r="M457" s="3">
        <v>0</v>
      </c>
    </row>
    <row r="458" spans="1:13">
      <c r="A458" t="s">
        <v>19</v>
      </c>
      <c r="C458" s="3">
        <f>C454*C457*C456-C456</f>
        <v>0</v>
      </c>
      <c r="D458" s="3">
        <f>D454*D457*D456-D456</f>
        <v>0</v>
      </c>
      <c r="E458" s="3">
        <f>E454*E457*E456-E456</f>
        <v>0</v>
      </c>
      <c r="G458" s="3">
        <f>G454*G457*G456-G456</f>
        <v>0</v>
      </c>
      <c r="H458" s="3">
        <f>H454*H457*H456-H456</f>
        <v>0</v>
      </c>
      <c r="I458" s="3">
        <f>I454*I457*I456-I456</f>
        <v>0</v>
      </c>
      <c r="K458" s="3">
        <f>K454*K457*K456-K456</f>
        <v>0</v>
      </c>
      <c r="L458" s="3">
        <f>L454*L457*L456-L456</f>
        <v>0</v>
      </c>
      <c r="M458" s="3">
        <f>M454*M457*M456-M456</f>
        <v>0</v>
      </c>
    </row>
    <row r="460" spans="1:13">
      <c r="A460" s="1" t="s">
        <v>33</v>
      </c>
      <c r="C460" s="1" t="s">
        <v>1</v>
      </c>
      <c r="E460" s="1">
        <f>0+C467+D467+E467 + E451</f>
        <v>0</v>
      </c>
      <c r="G460" s="1" t="s">
        <v>2</v>
      </c>
      <c r="I460" s="1">
        <f>0+G467+H467+I467 + I451</f>
        <v>0</v>
      </c>
      <c r="K460" s="1" t="s">
        <v>3</v>
      </c>
      <c r="M460" s="1">
        <f>0+K467+L467+M467 + M451</f>
        <v>0</v>
      </c>
    </row>
    <row r="461" spans="1:13">
      <c r="A461" t="s">
        <v>74</v>
      </c>
      <c r="C461" s="2" t="s">
        <v>5</v>
      </c>
      <c r="D461" s="2" t="s">
        <v>6</v>
      </c>
      <c r="E461" s="2" t="s">
        <v>7</v>
      </c>
      <c r="G461" s="2" t="s">
        <v>8</v>
      </c>
      <c r="H461" s="2" t="s">
        <v>9</v>
      </c>
      <c r="I461" s="2" t="s">
        <v>10</v>
      </c>
      <c r="K461" s="2" t="s">
        <v>11</v>
      </c>
      <c r="L461" s="2" t="s">
        <v>12</v>
      </c>
      <c r="M461" s="2" t="s">
        <v>13</v>
      </c>
    </row>
    <row r="462" spans="1:13">
      <c r="A462" t="s">
        <v>14</v>
      </c>
      <c r="C462" s="3">
        <v>1.7589999999999999</v>
      </c>
      <c r="D462" s="3">
        <v>2.0710000000000002</v>
      </c>
      <c r="E462" s="3">
        <v>6.7389999999999999</v>
      </c>
      <c r="G462" s="3">
        <v>1.837</v>
      </c>
      <c r="H462" s="3">
        <v>5.4</v>
      </c>
      <c r="I462" s="3">
        <v>5.6740000000000004</v>
      </c>
      <c r="K462" s="3">
        <v>1.8560000000000001</v>
      </c>
      <c r="L462" s="3">
        <v>1.4510000000000001</v>
      </c>
      <c r="M462" s="3">
        <v>3.9159999999999999</v>
      </c>
    </row>
    <row r="463" spans="1:13">
      <c r="A463" t="s">
        <v>15</v>
      </c>
      <c r="C463" s="3">
        <v>0</v>
      </c>
      <c r="D463" s="3">
        <v>0</v>
      </c>
      <c r="E463" s="3">
        <v>0</v>
      </c>
      <c r="G463" s="3">
        <v>0</v>
      </c>
      <c r="H463" s="3">
        <v>0</v>
      </c>
      <c r="I463" s="3">
        <v>0</v>
      </c>
      <c r="K463" s="3">
        <v>0</v>
      </c>
      <c r="L463" s="3">
        <v>0</v>
      </c>
      <c r="M463" s="3">
        <v>0</v>
      </c>
    </row>
    <row r="464" spans="1:13">
      <c r="A464" t="s">
        <v>16</v>
      </c>
      <c r="C464" s="3">
        <f>C463/C462</f>
        <v>0</v>
      </c>
      <c r="D464" s="3">
        <f>D463/D462</f>
        <v>0</v>
      </c>
      <c r="E464" s="3">
        <f>E463/E462</f>
        <v>0</v>
      </c>
      <c r="G464" s="3">
        <f>G463/G462</f>
        <v>0</v>
      </c>
      <c r="H464" s="3">
        <f>H463/H462</f>
        <v>0</v>
      </c>
      <c r="I464" s="3">
        <f>I463/I462</f>
        <v>0</v>
      </c>
      <c r="K464" s="3">
        <f>K463/K462</f>
        <v>0</v>
      </c>
      <c r="L464" s="3">
        <f>L463/L462</f>
        <v>0</v>
      </c>
      <c r="M464" s="3">
        <f>M463/M462</f>
        <v>0</v>
      </c>
    </row>
    <row r="465" spans="1:13">
      <c r="A465" t="s">
        <v>17</v>
      </c>
      <c r="C465" s="3">
        <v>0</v>
      </c>
      <c r="D465" s="3">
        <v>0</v>
      </c>
      <c r="E465" s="3">
        <v>0</v>
      </c>
      <c r="G465" s="3">
        <v>0</v>
      </c>
      <c r="H465" s="3">
        <v>0</v>
      </c>
      <c r="I465" s="3">
        <v>0</v>
      </c>
      <c r="K465" s="3">
        <v>0</v>
      </c>
      <c r="L465" s="3">
        <v>0</v>
      </c>
      <c r="M465" s="3">
        <v>0</v>
      </c>
    </row>
    <row r="466" spans="1:13">
      <c r="A466" t="s">
        <v>18</v>
      </c>
      <c r="C466" s="3">
        <v>0</v>
      </c>
      <c r="D466" s="3">
        <v>0</v>
      </c>
      <c r="E466" s="3">
        <v>0</v>
      </c>
      <c r="G466" s="3">
        <v>0</v>
      </c>
      <c r="H466" s="3">
        <v>0</v>
      </c>
      <c r="I466" s="3">
        <v>0</v>
      </c>
      <c r="K466" s="3">
        <v>0</v>
      </c>
      <c r="L466" s="3">
        <v>0</v>
      </c>
      <c r="M466" s="3">
        <v>0</v>
      </c>
    </row>
    <row r="467" spans="1:13">
      <c r="A467" t="s">
        <v>19</v>
      </c>
      <c r="C467" s="3">
        <f>C463*C466*C465-C465</f>
        <v>0</v>
      </c>
      <c r="D467" s="3">
        <f>D463*D466*D465-D465</f>
        <v>0</v>
      </c>
      <c r="E467" s="3">
        <f>E463*E466*E465-E465</f>
        <v>0</v>
      </c>
      <c r="G467" s="3">
        <f>G463*G466*G465-G465</f>
        <v>0</v>
      </c>
      <c r="H467" s="3">
        <f>H463*H466*H465-H465</f>
        <v>0</v>
      </c>
      <c r="I467" s="3">
        <f>I463*I466*I465-I465</f>
        <v>0</v>
      </c>
      <c r="K467" s="3">
        <f>K463*K466*K465-K465</f>
        <v>0</v>
      </c>
      <c r="L467" s="3">
        <f>L463*L466*L465-L465</f>
        <v>0</v>
      </c>
      <c r="M467" s="3">
        <f>M463*M466*M465-M465</f>
        <v>0</v>
      </c>
    </row>
    <row r="469" spans="1:13">
      <c r="A469" s="1" t="s">
        <v>33</v>
      </c>
      <c r="C469" s="1" t="s">
        <v>1</v>
      </c>
      <c r="E469" s="1">
        <f>0+C476+D476+E476 + E460</f>
        <v>0</v>
      </c>
      <c r="G469" s="1" t="s">
        <v>2</v>
      </c>
      <c r="I469" s="1">
        <f>0+G476+H476+I476 + I460</f>
        <v>0</v>
      </c>
      <c r="K469" s="1" t="s">
        <v>3</v>
      </c>
      <c r="M469" s="1">
        <f>0+K476+L476+M476 + M460</f>
        <v>0</v>
      </c>
    </row>
    <row r="470" spans="1:13">
      <c r="A470" t="s">
        <v>75</v>
      </c>
      <c r="C470" s="2" t="s">
        <v>5</v>
      </c>
      <c r="D470" s="2" t="s">
        <v>6</v>
      </c>
      <c r="E470" s="2" t="s">
        <v>7</v>
      </c>
      <c r="G470" s="2" t="s">
        <v>8</v>
      </c>
      <c r="H470" s="2" t="s">
        <v>9</v>
      </c>
      <c r="I470" s="2" t="s">
        <v>10</v>
      </c>
      <c r="K470" s="2" t="s">
        <v>11</v>
      </c>
      <c r="L470" s="2" t="s">
        <v>12</v>
      </c>
      <c r="M470" s="2" t="s">
        <v>13</v>
      </c>
    </row>
    <row r="471" spans="1:13">
      <c r="A471" t="s">
        <v>14</v>
      </c>
      <c r="C471" s="3">
        <v>5.4880000000000004</v>
      </c>
      <c r="D471" s="3">
        <v>20.067</v>
      </c>
      <c r="E471" s="3">
        <v>5.5860000000000003</v>
      </c>
      <c r="G471" s="3">
        <v>4.7370000000000001</v>
      </c>
      <c r="H471" s="3">
        <v>1.889</v>
      </c>
      <c r="I471" s="3">
        <v>12.959</v>
      </c>
      <c r="K471" s="3">
        <v>2.3130000000000002</v>
      </c>
      <c r="L471" s="3">
        <v>7.3419999999999996</v>
      </c>
      <c r="M471" s="3">
        <v>14.4</v>
      </c>
    </row>
    <row r="472" spans="1:13">
      <c r="A472" t="s">
        <v>15</v>
      </c>
      <c r="C472" s="3">
        <v>0</v>
      </c>
      <c r="D472" s="3">
        <v>0</v>
      </c>
      <c r="E472" s="3">
        <v>0</v>
      </c>
      <c r="G472" s="3">
        <v>0</v>
      </c>
      <c r="H472" s="3">
        <v>0</v>
      </c>
      <c r="I472" s="3">
        <v>0</v>
      </c>
      <c r="K472" s="3">
        <v>0</v>
      </c>
      <c r="L472" s="3">
        <v>0</v>
      </c>
      <c r="M472" s="3">
        <v>0</v>
      </c>
    </row>
    <row r="473" spans="1:13">
      <c r="A473" t="s">
        <v>16</v>
      </c>
      <c r="C473" s="3">
        <f>C472/C471</f>
        <v>0</v>
      </c>
      <c r="D473" s="3">
        <f>D472/D471</f>
        <v>0</v>
      </c>
      <c r="E473" s="3">
        <f>E472/E471</f>
        <v>0</v>
      </c>
      <c r="G473" s="3">
        <f>G472/G471</f>
        <v>0</v>
      </c>
      <c r="H473" s="3">
        <f>H472/H471</f>
        <v>0</v>
      </c>
      <c r="I473" s="3">
        <f>I472/I471</f>
        <v>0</v>
      </c>
      <c r="K473" s="3">
        <f>K472/K471</f>
        <v>0</v>
      </c>
      <c r="L473" s="3">
        <f>L472/L471</f>
        <v>0</v>
      </c>
      <c r="M473" s="3">
        <f>M472/M471</f>
        <v>0</v>
      </c>
    </row>
    <row r="474" spans="1:13">
      <c r="A474" t="s">
        <v>17</v>
      </c>
      <c r="C474" s="3">
        <v>0</v>
      </c>
      <c r="D474" s="3">
        <v>0</v>
      </c>
      <c r="E474" s="3">
        <v>0</v>
      </c>
      <c r="G474" s="3">
        <v>0</v>
      </c>
      <c r="H474" s="3">
        <v>0</v>
      </c>
      <c r="I474" s="3">
        <v>0</v>
      </c>
      <c r="K474" s="3">
        <v>0</v>
      </c>
      <c r="L474" s="3">
        <v>0</v>
      </c>
      <c r="M474" s="3">
        <v>0</v>
      </c>
    </row>
    <row r="475" spans="1:13">
      <c r="A475" t="s">
        <v>18</v>
      </c>
      <c r="C475" s="3">
        <v>0</v>
      </c>
      <c r="D475" s="3">
        <v>0</v>
      </c>
      <c r="E475" s="3">
        <v>0</v>
      </c>
      <c r="G475" s="3">
        <v>0</v>
      </c>
      <c r="H475" s="3">
        <v>0</v>
      </c>
      <c r="I475" s="3">
        <v>0</v>
      </c>
      <c r="K475" s="3">
        <v>0</v>
      </c>
      <c r="L475" s="3">
        <v>0</v>
      </c>
      <c r="M475" s="3">
        <v>0</v>
      </c>
    </row>
    <row r="476" spans="1:13">
      <c r="A476" t="s">
        <v>19</v>
      </c>
      <c r="C476" s="3">
        <f>C472*C475*C474-C474</f>
        <v>0</v>
      </c>
      <c r="D476" s="3">
        <f>D472*D475*D474-D474</f>
        <v>0</v>
      </c>
      <c r="E476" s="3">
        <f>E472*E475*E474-E474</f>
        <v>0</v>
      </c>
      <c r="G476" s="3">
        <f>G472*G475*G474-G474</f>
        <v>0</v>
      </c>
      <c r="H476" s="3">
        <f>H472*H475*H474-H474</f>
        <v>0</v>
      </c>
      <c r="I476" s="3">
        <f>I472*I475*I474-I474</f>
        <v>0</v>
      </c>
      <c r="K476" s="3">
        <f>K472*K475*K474-K474</f>
        <v>0</v>
      </c>
      <c r="L476" s="3">
        <f>L472*L475*L474-L474</f>
        <v>0</v>
      </c>
      <c r="M476" s="3">
        <f>M472*M475*M474-M474</f>
        <v>0</v>
      </c>
    </row>
    <row r="478" spans="1:13">
      <c r="A478" s="1" t="s">
        <v>33</v>
      </c>
      <c r="C478" s="1" t="s">
        <v>1</v>
      </c>
      <c r="E478" s="1">
        <f>0+C485+D485+E485 + E469</f>
        <v>0</v>
      </c>
      <c r="G478" s="1" t="s">
        <v>2</v>
      </c>
      <c r="I478" s="1">
        <f>0+G485+H485+I485 + I469</f>
        <v>0</v>
      </c>
      <c r="K478" s="1" t="s">
        <v>3</v>
      </c>
      <c r="M478" s="1">
        <f>0+K485+L485+M485 + M469</f>
        <v>0</v>
      </c>
    </row>
    <row r="479" spans="1:13">
      <c r="A479" t="s">
        <v>76</v>
      </c>
      <c r="C479" s="2" t="s">
        <v>5</v>
      </c>
      <c r="D479" s="2" t="s">
        <v>6</v>
      </c>
      <c r="E479" s="2" t="s">
        <v>7</v>
      </c>
      <c r="G479" s="2" t="s">
        <v>8</v>
      </c>
      <c r="H479" s="2" t="s">
        <v>9</v>
      </c>
      <c r="I479" s="2" t="s">
        <v>10</v>
      </c>
      <c r="K479" s="2" t="s">
        <v>11</v>
      </c>
      <c r="L479" s="2" t="s">
        <v>12</v>
      </c>
      <c r="M479" s="2" t="s">
        <v>13</v>
      </c>
    </row>
    <row r="480" spans="1:13">
      <c r="A480" t="s">
        <v>14</v>
      </c>
      <c r="C480" s="3">
        <v>1.8520000000000001</v>
      </c>
      <c r="D480" s="3">
        <v>8.9489999999999998</v>
      </c>
      <c r="E480" s="3">
        <v>6.2130000000000001</v>
      </c>
      <c r="G480" s="3">
        <v>8.5869999999999997</v>
      </c>
      <c r="H480" s="3">
        <v>1.7430000000000001</v>
      </c>
      <c r="I480" s="3">
        <v>5.2610000000000001</v>
      </c>
      <c r="K480" s="3">
        <v>3.1579999999999999</v>
      </c>
      <c r="L480" s="3">
        <v>15.615</v>
      </c>
      <c r="M480" s="3">
        <v>4.1360000000000001</v>
      </c>
    </row>
    <row r="481" spans="1:13">
      <c r="A481" t="s">
        <v>15</v>
      </c>
      <c r="C481" s="3">
        <v>0</v>
      </c>
      <c r="D481" s="3">
        <v>0</v>
      </c>
      <c r="E481" s="3">
        <v>0</v>
      </c>
      <c r="G481" s="3">
        <v>0</v>
      </c>
      <c r="H481" s="3">
        <v>0</v>
      </c>
      <c r="I481" s="3">
        <v>0</v>
      </c>
      <c r="K481" s="3">
        <v>0</v>
      </c>
      <c r="L481" s="3">
        <v>0</v>
      </c>
      <c r="M481" s="3">
        <v>0</v>
      </c>
    </row>
    <row r="482" spans="1:13">
      <c r="A482" t="s">
        <v>16</v>
      </c>
      <c r="C482" s="3">
        <f>C481/C480</f>
        <v>0</v>
      </c>
      <c r="D482" s="3">
        <f>D481/D480</f>
        <v>0</v>
      </c>
      <c r="E482" s="3">
        <f>E481/E480</f>
        <v>0</v>
      </c>
      <c r="G482" s="3">
        <f>G481/G480</f>
        <v>0</v>
      </c>
      <c r="H482" s="3">
        <f>H481/H480</f>
        <v>0</v>
      </c>
      <c r="I482" s="3">
        <f>I481/I480</f>
        <v>0</v>
      </c>
      <c r="K482" s="3">
        <f>K481/K480</f>
        <v>0</v>
      </c>
      <c r="L482" s="3">
        <f>L481/L480</f>
        <v>0</v>
      </c>
      <c r="M482" s="3">
        <f>M481/M480</f>
        <v>0</v>
      </c>
    </row>
    <row r="483" spans="1:13">
      <c r="A483" t="s">
        <v>17</v>
      </c>
      <c r="C483" s="3">
        <v>0</v>
      </c>
      <c r="D483" s="3">
        <v>0</v>
      </c>
      <c r="E483" s="3">
        <v>0</v>
      </c>
      <c r="G483" s="3">
        <v>0</v>
      </c>
      <c r="H483" s="3">
        <v>0</v>
      </c>
      <c r="I483" s="3">
        <v>0</v>
      </c>
      <c r="K483" s="3">
        <v>0</v>
      </c>
      <c r="L483" s="3">
        <v>0</v>
      </c>
      <c r="M483" s="3">
        <v>0</v>
      </c>
    </row>
    <row r="484" spans="1:13">
      <c r="A484" t="s">
        <v>18</v>
      </c>
      <c r="C484" s="3">
        <v>0</v>
      </c>
      <c r="D484" s="3">
        <v>0</v>
      </c>
      <c r="E484" s="3">
        <v>0</v>
      </c>
      <c r="G484" s="3">
        <v>0</v>
      </c>
      <c r="H484" s="3">
        <v>0</v>
      </c>
      <c r="I484" s="3">
        <v>0</v>
      </c>
      <c r="K484" s="3">
        <v>0</v>
      </c>
      <c r="L484" s="3">
        <v>0</v>
      </c>
      <c r="M484" s="3">
        <v>0</v>
      </c>
    </row>
    <row r="485" spans="1:13">
      <c r="A485" t="s">
        <v>19</v>
      </c>
      <c r="C485" s="3">
        <f>C481*C484*C483-C483</f>
        <v>0</v>
      </c>
      <c r="D485" s="3">
        <f>D481*D484*D483-D483</f>
        <v>0</v>
      </c>
      <c r="E485" s="3">
        <f>E481*E484*E483-E483</f>
        <v>0</v>
      </c>
      <c r="G485" s="3">
        <f>G481*G484*G483-G483</f>
        <v>0</v>
      </c>
      <c r="H485" s="3">
        <f>H481*H484*H483-H483</f>
        <v>0</v>
      </c>
      <c r="I485" s="3">
        <f>I481*I484*I483-I483</f>
        <v>0</v>
      </c>
      <c r="K485" s="3">
        <f>K481*K484*K483-K483</f>
        <v>0</v>
      </c>
      <c r="L485" s="3">
        <f>L481*L484*L483-L483</f>
        <v>0</v>
      </c>
      <c r="M485" s="3">
        <f>M481*M484*M483-M483</f>
        <v>0</v>
      </c>
    </row>
    <row r="487" spans="1:13">
      <c r="A487" s="1" t="s">
        <v>0</v>
      </c>
      <c r="C487" s="1" t="s">
        <v>1</v>
      </c>
      <c r="E487" s="1">
        <f>0+C494+D494+E494 + E478</f>
        <v>0</v>
      </c>
      <c r="G487" s="1" t="s">
        <v>2</v>
      </c>
      <c r="I487" s="1">
        <f>0+G494+H494+I494 + I478</f>
        <v>0</v>
      </c>
      <c r="K487" s="1" t="s">
        <v>3</v>
      </c>
      <c r="M487" s="1">
        <f>0+K494+L494+M494 + M478</f>
        <v>0</v>
      </c>
    </row>
    <row r="488" spans="1:13">
      <c r="A488" t="s">
        <v>77</v>
      </c>
      <c r="C488" s="2" t="s">
        <v>5</v>
      </c>
      <c r="D488" s="2" t="s">
        <v>6</v>
      </c>
      <c r="E488" s="2" t="s">
        <v>7</v>
      </c>
      <c r="G488" s="2" t="s">
        <v>8</v>
      </c>
      <c r="H488" s="2" t="s">
        <v>9</v>
      </c>
      <c r="I488" s="2" t="s">
        <v>10</v>
      </c>
      <c r="K488" s="2" t="s">
        <v>11</v>
      </c>
      <c r="L488" s="2" t="s">
        <v>12</v>
      </c>
      <c r="M488" s="2" t="s">
        <v>13</v>
      </c>
    </row>
    <row r="489" spans="1:13">
      <c r="A489" t="s">
        <v>14</v>
      </c>
      <c r="C489" s="3">
        <v>1.718</v>
      </c>
      <c r="D489" s="3">
        <v>1.38</v>
      </c>
      <c r="E489" s="3">
        <v>2.9969999999999999</v>
      </c>
      <c r="G489" s="3">
        <v>20.07</v>
      </c>
      <c r="H489" s="3">
        <v>1.5660000000000001</v>
      </c>
      <c r="I489" s="3">
        <v>1.6679999999999999</v>
      </c>
      <c r="K489" s="3">
        <v>1.873</v>
      </c>
      <c r="L489" s="3">
        <v>1.0940000000000001</v>
      </c>
      <c r="M489" s="3">
        <v>27.292000000000002</v>
      </c>
    </row>
    <row r="490" spans="1:13">
      <c r="A490" t="s">
        <v>15</v>
      </c>
      <c r="C490" s="3">
        <v>0</v>
      </c>
      <c r="D490" s="3">
        <v>0</v>
      </c>
      <c r="E490" s="3">
        <v>0</v>
      </c>
      <c r="G490" s="3">
        <v>0</v>
      </c>
      <c r="H490" s="3">
        <v>0</v>
      </c>
      <c r="I490" s="3">
        <v>0</v>
      </c>
      <c r="K490" s="3">
        <v>0</v>
      </c>
      <c r="L490" s="3">
        <v>0</v>
      </c>
      <c r="M490" s="3">
        <v>0</v>
      </c>
    </row>
    <row r="491" spans="1:13">
      <c r="A491" t="s">
        <v>16</v>
      </c>
      <c r="C491" s="3">
        <f>C490/C489</f>
        <v>0</v>
      </c>
      <c r="D491" s="3">
        <f>D490/D489</f>
        <v>0</v>
      </c>
      <c r="E491" s="3">
        <f>E490/E489</f>
        <v>0</v>
      </c>
      <c r="G491" s="3">
        <f>G490/G489</f>
        <v>0</v>
      </c>
      <c r="H491" s="3">
        <f>H490/H489</f>
        <v>0</v>
      </c>
      <c r="I491" s="3">
        <f>I490/I489</f>
        <v>0</v>
      </c>
      <c r="K491" s="3">
        <f>K490/K489</f>
        <v>0</v>
      </c>
      <c r="L491" s="3">
        <f>L490/L489</f>
        <v>0</v>
      </c>
      <c r="M491" s="3">
        <f>M490/M489</f>
        <v>0</v>
      </c>
    </row>
    <row r="492" spans="1:13">
      <c r="A492" t="s">
        <v>17</v>
      </c>
      <c r="C492" s="3">
        <v>0</v>
      </c>
      <c r="D492" s="3">
        <v>0</v>
      </c>
      <c r="E492" s="3">
        <v>0</v>
      </c>
      <c r="G492" s="3">
        <v>0</v>
      </c>
      <c r="H492" s="3">
        <v>0</v>
      </c>
      <c r="I492" s="3">
        <v>0</v>
      </c>
      <c r="K492" s="3">
        <v>0</v>
      </c>
      <c r="L492" s="3">
        <v>0</v>
      </c>
      <c r="M492" s="3">
        <v>0</v>
      </c>
    </row>
    <row r="493" spans="1:13">
      <c r="A493" t="s">
        <v>18</v>
      </c>
      <c r="C493" s="3">
        <v>0</v>
      </c>
      <c r="D493" s="3">
        <v>0</v>
      </c>
      <c r="E493" s="3">
        <v>0</v>
      </c>
      <c r="G493" s="3">
        <v>0</v>
      </c>
      <c r="H493" s="3">
        <v>0</v>
      </c>
      <c r="I493" s="3">
        <v>0</v>
      </c>
      <c r="K493" s="3">
        <v>0</v>
      </c>
      <c r="L493" s="3">
        <v>0</v>
      </c>
      <c r="M493" s="3">
        <v>0</v>
      </c>
    </row>
    <row r="494" spans="1:13">
      <c r="A494" t="s">
        <v>19</v>
      </c>
      <c r="C494" s="3">
        <f>C490*C493*C492-C492</f>
        <v>0</v>
      </c>
      <c r="D494" s="3">
        <f>D490*D493*D492-D492</f>
        <v>0</v>
      </c>
      <c r="E494" s="3">
        <f>E490*E493*E492-E492</f>
        <v>0</v>
      </c>
      <c r="G494" s="3">
        <f>G490*G493*G492-G492</f>
        <v>0</v>
      </c>
      <c r="H494" s="3">
        <f>H490*H493*H492-H492</f>
        <v>0</v>
      </c>
      <c r="I494" s="3">
        <f>I490*I493*I492-I492</f>
        <v>0</v>
      </c>
      <c r="K494" s="3">
        <f>K490*K493*K492-K492</f>
        <v>0</v>
      </c>
      <c r="L494" s="3">
        <f>L490*L493*L492-L492</f>
        <v>0</v>
      </c>
      <c r="M494" s="3">
        <f>M490*M493*M492-M492</f>
        <v>0</v>
      </c>
    </row>
    <row r="496" spans="1:13">
      <c r="A496" s="1" t="s">
        <v>0</v>
      </c>
      <c r="C496" s="1" t="s">
        <v>1</v>
      </c>
      <c r="E496" s="1">
        <f>0+C503+D503+E503 + E487</f>
        <v>0</v>
      </c>
      <c r="G496" s="1" t="s">
        <v>2</v>
      </c>
      <c r="I496" s="1">
        <f>0+G503+H503+I503 + I487</f>
        <v>0</v>
      </c>
      <c r="K496" s="1" t="s">
        <v>3</v>
      </c>
      <c r="M496" s="1">
        <f>0+K503+L503+M503 + M487</f>
        <v>0</v>
      </c>
    </row>
    <row r="497" spans="1:13">
      <c r="A497" t="s">
        <v>78</v>
      </c>
      <c r="C497" s="2" t="s">
        <v>5</v>
      </c>
      <c r="D497" s="2" t="s">
        <v>6</v>
      </c>
      <c r="E497" s="2" t="s">
        <v>7</v>
      </c>
      <c r="G497" s="2" t="s">
        <v>8</v>
      </c>
      <c r="H497" s="2" t="s">
        <v>9</v>
      </c>
      <c r="I497" s="2" t="s">
        <v>10</v>
      </c>
      <c r="K497" s="2" t="s">
        <v>11</v>
      </c>
      <c r="L497" s="2" t="s">
        <v>12</v>
      </c>
      <c r="M497" s="2" t="s">
        <v>13</v>
      </c>
    </row>
    <row r="498" spans="1:13">
      <c r="A498" t="s">
        <v>14</v>
      </c>
      <c r="C498" s="3">
        <v>4.6260000000000003</v>
      </c>
      <c r="D498" s="3">
        <v>1.5389999999999999</v>
      </c>
      <c r="E498" s="3">
        <v>11.318</v>
      </c>
      <c r="G498" s="3">
        <v>28.727</v>
      </c>
      <c r="H498" s="3">
        <v>3.83</v>
      </c>
      <c r="I498" s="3">
        <v>4.4589999999999996</v>
      </c>
      <c r="K498" s="3">
        <v>1.3560000000000001</v>
      </c>
      <c r="L498" s="3">
        <v>1.7190000000000001</v>
      </c>
      <c r="M498" s="3">
        <v>17.055</v>
      </c>
    </row>
    <row r="499" spans="1:13">
      <c r="A499" t="s">
        <v>15</v>
      </c>
      <c r="C499" s="3">
        <v>0</v>
      </c>
      <c r="D499" s="3">
        <v>0</v>
      </c>
      <c r="E499" s="3">
        <v>0</v>
      </c>
      <c r="G499" s="3">
        <v>0</v>
      </c>
      <c r="H499" s="3">
        <v>0</v>
      </c>
      <c r="I499" s="3">
        <v>0</v>
      </c>
      <c r="K499" s="3">
        <v>0</v>
      </c>
      <c r="L499" s="3">
        <v>0</v>
      </c>
      <c r="M499" s="3">
        <v>0</v>
      </c>
    </row>
    <row r="500" spans="1:13">
      <c r="A500" t="s">
        <v>16</v>
      </c>
      <c r="C500" s="3">
        <f>C499/C498</f>
        <v>0</v>
      </c>
      <c r="D500" s="3">
        <f>D499/D498</f>
        <v>0</v>
      </c>
      <c r="E500" s="3">
        <f>E499/E498</f>
        <v>0</v>
      </c>
      <c r="G500" s="3">
        <f>G499/G498</f>
        <v>0</v>
      </c>
      <c r="H500" s="3">
        <f>H499/H498</f>
        <v>0</v>
      </c>
      <c r="I500" s="3">
        <f>I499/I498</f>
        <v>0</v>
      </c>
      <c r="K500" s="3">
        <f>K499/K498</f>
        <v>0</v>
      </c>
      <c r="L500" s="3">
        <f>L499/L498</f>
        <v>0</v>
      </c>
      <c r="M500" s="3">
        <f>M499/M498</f>
        <v>0</v>
      </c>
    </row>
    <row r="501" spans="1:13">
      <c r="A501" t="s">
        <v>17</v>
      </c>
      <c r="C501" s="3">
        <v>0</v>
      </c>
      <c r="D501" s="3">
        <v>0</v>
      </c>
      <c r="E501" s="3">
        <v>0</v>
      </c>
      <c r="G501" s="3">
        <v>0</v>
      </c>
      <c r="H501" s="3">
        <v>0</v>
      </c>
      <c r="I501" s="3">
        <v>0</v>
      </c>
      <c r="K501" s="3">
        <v>0</v>
      </c>
      <c r="L501" s="3">
        <v>0</v>
      </c>
      <c r="M501" s="3">
        <v>0</v>
      </c>
    </row>
    <row r="502" spans="1:13">
      <c r="A502" t="s">
        <v>18</v>
      </c>
      <c r="C502" s="3">
        <v>0</v>
      </c>
      <c r="D502" s="3">
        <v>0</v>
      </c>
      <c r="E502" s="3">
        <v>0</v>
      </c>
      <c r="G502" s="3">
        <v>0</v>
      </c>
      <c r="H502" s="3">
        <v>0</v>
      </c>
      <c r="I502" s="3">
        <v>0</v>
      </c>
      <c r="K502" s="3">
        <v>0</v>
      </c>
      <c r="L502" s="3">
        <v>0</v>
      </c>
      <c r="M502" s="3">
        <v>0</v>
      </c>
    </row>
    <row r="503" spans="1:13">
      <c r="A503" t="s">
        <v>19</v>
      </c>
      <c r="C503" s="3">
        <f>C499*C502*C501-C501</f>
        <v>0</v>
      </c>
      <c r="D503" s="3">
        <f>D499*D502*D501-D501</f>
        <v>0</v>
      </c>
      <c r="E503" s="3">
        <f>E499*E502*E501-E501</f>
        <v>0</v>
      </c>
      <c r="G503" s="3">
        <f>G499*G502*G501-G501</f>
        <v>0</v>
      </c>
      <c r="H503" s="3">
        <f>H499*H502*H501-H501</f>
        <v>0</v>
      </c>
      <c r="I503" s="3">
        <f>I499*I502*I501-I501</f>
        <v>0</v>
      </c>
      <c r="K503" s="3">
        <f>K499*K502*K501-K501</f>
        <v>0</v>
      </c>
      <c r="L503" s="3">
        <f>L499*L502*L501-L501</f>
        <v>0</v>
      </c>
      <c r="M503" s="3">
        <f>M499*M502*M501-M501</f>
        <v>0</v>
      </c>
    </row>
    <row r="505" spans="1:13">
      <c r="A505" s="1" t="s">
        <v>0</v>
      </c>
      <c r="C505" s="1" t="s">
        <v>1</v>
      </c>
      <c r="E505" s="1">
        <f>0+C512+D512+E512 + E496</f>
        <v>0</v>
      </c>
      <c r="G505" s="1" t="s">
        <v>2</v>
      </c>
      <c r="I505" s="1">
        <f>0+G512+H512+I512 + I496</f>
        <v>0</v>
      </c>
      <c r="K505" s="1" t="s">
        <v>3</v>
      </c>
      <c r="M505" s="1">
        <f>0+K512+L512+M512 + M496</f>
        <v>0</v>
      </c>
    </row>
    <row r="506" spans="1:13">
      <c r="A506" t="s">
        <v>79</v>
      </c>
      <c r="C506" s="2" t="s">
        <v>5</v>
      </c>
      <c r="D506" s="2" t="s">
        <v>6</v>
      </c>
      <c r="E506" s="2" t="s">
        <v>7</v>
      </c>
      <c r="G506" s="2" t="s">
        <v>8</v>
      </c>
      <c r="H506" s="2" t="s">
        <v>9</v>
      </c>
      <c r="I506" s="2" t="s">
        <v>10</v>
      </c>
      <c r="K506" s="2" t="s">
        <v>11</v>
      </c>
      <c r="L506" s="2" t="s">
        <v>12</v>
      </c>
      <c r="M506" s="2" t="s">
        <v>13</v>
      </c>
    </row>
    <row r="507" spans="1:13">
      <c r="A507" t="s">
        <v>14</v>
      </c>
      <c r="C507" s="3">
        <v>5.798</v>
      </c>
      <c r="D507" s="3">
        <v>3.3149999999999999</v>
      </c>
      <c r="E507" s="3">
        <v>6.3289999999999997</v>
      </c>
      <c r="G507" s="3">
        <v>1.905</v>
      </c>
      <c r="H507" s="3">
        <v>3.3290000000000002</v>
      </c>
      <c r="I507" s="3">
        <v>7.0750000000000002</v>
      </c>
      <c r="K507" s="3">
        <v>1.742</v>
      </c>
      <c r="L507" s="3">
        <v>2.4340000000000002</v>
      </c>
      <c r="M507" s="3">
        <v>22.86</v>
      </c>
    </row>
    <row r="508" spans="1:13">
      <c r="A508" t="s">
        <v>15</v>
      </c>
      <c r="C508" s="3">
        <v>0</v>
      </c>
      <c r="D508" s="3">
        <v>0</v>
      </c>
      <c r="E508" s="3">
        <v>0</v>
      </c>
      <c r="G508" s="3">
        <v>0</v>
      </c>
      <c r="H508" s="3">
        <v>0</v>
      </c>
      <c r="I508" s="3">
        <v>0</v>
      </c>
      <c r="K508" s="3">
        <v>0</v>
      </c>
      <c r="L508" s="3">
        <v>0</v>
      </c>
      <c r="M508" s="3">
        <v>0</v>
      </c>
    </row>
    <row r="509" spans="1:13">
      <c r="A509" t="s">
        <v>16</v>
      </c>
      <c r="C509" s="3">
        <f>C508/C507</f>
        <v>0</v>
      </c>
      <c r="D509" s="3">
        <f>D508/D507</f>
        <v>0</v>
      </c>
      <c r="E509" s="3">
        <f>E508/E507</f>
        <v>0</v>
      </c>
      <c r="G509" s="3">
        <f>G508/G507</f>
        <v>0</v>
      </c>
      <c r="H509" s="3">
        <f>H508/H507</f>
        <v>0</v>
      </c>
      <c r="I509" s="3">
        <f>I508/I507</f>
        <v>0</v>
      </c>
      <c r="K509" s="3">
        <f>K508/K507</f>
        <v>0</v>
      </c>
      <c r="L509" s="3">
        <f>L508/L507</f>
        <v>0</v>
      </c>
      <c r="M509" s="3">
        <f>M508/M507</f>
        <v>0</v>
      </c>
    </row>
    <row r="510" spans="1:13">
      <c r="A510" t="s">
        <v>17</v>
      </c>
      <c r="C510" s="3">
        <v>0</v>
      </c>
      <c r="D510" s="3">
        <v>0</v>
      </c>
      <c r="E510" s="3">
        <v>0</v>
      </c>
      <c r="G510" s="3">
        <v>0</v>
      </c>
      <c r="H510" s="3">
        <v>0</v>
      </c>
      <c r="I510" s="3">
        <v>0</v>
      </c>
      <c r="K510" s="3">
        <v>0</v>
      </c>
      <c r="L510" s="3">
        <v>0</v>
      </c>
      <c r="M510" s="3">
        <v>0</v>
      </c>
    </row>
    <row r="511" spans="1:13">
      <c r="A511" t="s">
        <v>18</v>
      </c>
      <c r="C511" s="3">
        <v>0</v>
      </c>
      <c r="D511" s="3">
        <v>0</v>
      </c>
      <c r="E511" s="3">
        <v>0</v>
      </c>
      <c r="G511" s="3">
        <v>0</v>
      </c>
      <c r="H511" s="3">
        <v>0</v>
      </c>
      <c r="I511" s="3">
        <v>0</v>
      </c>
      <c r="K511" s="3">
        <v>0</v>
      </c>
      <c r="L511" s="3">
        <v>0</v>
      </c>
      <c r="M511" s="3">
        <v>0</v>
      </c>
    </row>
    <row r="512" spans="1:13">
      <c r="A512" t="s">
        <v>19</v>
      </c>
      <c r="C512" s="3">
        <f>C508*C511*C510-C510</f>
        <v>0</v>
      </c>
      <c r="D512" s="3">
        <f>D508*D511*D510-D510</f>
        <v>0</v>
      </c>
      <c r="E512" s="3">
        <f>E508*E511*E510-E510</f>
        <v>0</v>
      </c>
      <c r="G512" s="3">
        <f>G508*G511*G510-G510</f>
        <v>0</v>
      </c>
      <c r="H512" s="3">
        <f>H508*H511*H510-H510</f>
        <v>0</v>
      </c>
      <c r="I512" s="3">
        <f>I508*I511*I510-I510</f>
        <v>0</v>
      </c>
      <c r="K512" s="3">
        <f>K508*K511*K510-K510</f>
        <v>0</v>
      </c>
      <c r="L512" s="3">
        <f>L508*L511*L510-L510</f>
        <v>0</v>
      </c>
      <c r="M512" s="3">
        <f>M508*M511*M510-M510</f>
        <v>0</v>
      </c>
    </row>
    <row r="514" spans="1:13">
      <c r="A514" s="1" t="s">
        <v>0</v>
      </c>
      <c r="C514" s="1" t="s">
        <v>1</v>
      </c>
      <c r="E514" s="1">
        <f>0+C521+D521+E521 + E505</f>
        <v>0</v>
      </c>
      <c r="G514" s="1" t="s">
        <v>2</v>
      </c>
      <c r="I514" s="1">
        <f>0+G521+H521+I521 + I505</f>
        <v>0</v>
      </c>
      <c r="K514" s="1" t="s">
        <v>3</v>
      </c>
      <c r="M514" s="1">
        <f>0+K521+L521+M521 + M505</f>
        <v>0</v>
      </c>
    </row>
    <row r="515" spans="1:13">
      <c r="A515" t="s">
        <v>80</v>
      </c>
      <c r="C515" s="2" t="s">
        <v>5</v>
      </c>
      <c r="D515" s="2" t="s">
        <v>6</v>
      </c>
      <c r="E515" s="2" t="s">
        <v>7</v>
      </c>
      <c r="G515" s="2" t="s">
        <v>8</v>
      </c>
      <c r="H515" s="2" t="s">
        <v>9</v>
      </c>
      <c r="I515" s="2" t="s">
        <v>10</v>
      </c>
      <c r="K515" s="2" t="s">
        <v>11</v>
      </c>
      <c r="L515" s="2" t="s">
        <v>12</v>
      </c>
      <c r="M515" s="2" t="s">
        <v>13</v>
      </c>
    </row>
    <row r="516" spans="1:13">
      <c r="A516" t="s">
        <v>14</v>
      </c>
      <c r="C516" s="3">
        <v>3.7919999999999998</v>
      </c>
      <c r="D516" s="3">
        <v>1.069</v>
      </c>
      <c r="E516" s="3">
        <v>2.032</v>
      </c>
      <c r="G516" s="3">
        <v>1.9279999999999999</v>
      </c>
      <c r="H516" s="3">
        <v>1.9610000000000001</v>
      </c>
      <c r="I516" s="3">
        <v>8.6890000000000001</v>
      </c>
      <c r="K516" s="3">
        <v>2.3119999999999998</v>
      </c>
      <c r="L516" s="3">
        <v>3.129</v>
      </c>
      <c r="M516" s="3">
        <v>4.4329999999999998</v>
      </c>
    </row>
    <row r="517" spans="1:13">
      <c r="A517" t="s">
        <v>15</v>
      </c>
      <c r="C517" s="3">
        <v>0</v>
      </c>
      <c r="D517" s="3">
        <v>0</v>
      </c>
      <c r="E517" s="3">
        <v>0</v>
      </c>
      <c r="G517" s="3">
        <v>0</v>
      </c>
      <c r="H517" s="3">
        <v>0</v>
      </c>
      <c r="I517" s="3">
        <v>0</v>
      </c>
      <c r="K517" s="3">
        <v>0</v>
      </c>
      <c r="L517" s="3">
        <v>0</v>
      </c>
      <c r="M517" s="3">
        <v>0</v>
      </c>
    </row>
    <row r="518" spans="1:13">
      <c r="A518" t="s">
        <v>16</v>
      </c>
      <c r="C518" s="3">
        <f>C517/C516</f>
        <v>0</v>
      </c>
      <c r="D518" s="3">
        <f>D517/D516</f>
        <v>0</v>
      </c>
      <c r="E518" s="3">
        <f>E517/E516</f>
        <v>0</v>
      </c>
      <c r="G518" s="3">
        <f>G517/G516</f>
        <v>0</v>
      </c>
      <c r="H518" s="3">
        <f>H517/H516</f>
        <v>0</v>
      </c>
      <c r="I518" s="3">
        <f>I517/I516</f>
        <v>0</v>
      </c>
      <c r="K518" s="3">
        <f>K517/K516</f>
        <v>0</v>
      </c>
      <c r="L518" s="3">
        <f>L517/L516</f>
        <v>0</v>
      </c>
      <c r="M518" s="3">
        <f>M517/M516</f>
        <v>0</v>
      </c>
    </row>
    <row r="519" spans="1:13">
      <c r="A519" t="s">
        <v>17</v>
      </c>
      <c r="C519" s="3">
        <v>0</v>
      </c>
      <c r="D519" s="3">
        <v>0</v>
      </c>
      <c r="E519" s="3">
        <v>0</v>
      </c>
      <c r="G519" s="3">
        <v>0</v>
      </c>
      <c r="H519" s="3">
        <v>0</v>
      </c>
      <c r="I519" s="3">
        <v>0</v>
      </c>
      <c r="K519" s="3">
        <v>0</v>
      </c>
      <c r="L519" s="3">
        <v>0</v>
      </c>
      <c r="M519" s="3">
        <v>0</v>
      </c>
    </row>
    <row r="520" spans="1:13">
      <c r="A520" t="s">
        <v>18</v>
      </c>
      <c r="C520" s="3">
        <v>0</v>
      </c>
      <c r="D520" s="3">
        <v>0</v>
      </c>
      <c r="E520" s="3">
        <v>0</v>
      </c>
      <c r="G520" s="3">
        <v>0</v>
      </c>
      <c r="H520" s="3">
        <v>0</v>
      </c>
      <c r="I520" s="3">
        <v>0</v>
      </c>
      <c r="K520" s="3">
        <v>0</v>
      </c>
      <c r="L520" s="3">
        <v>0</v>
      </c>
      <c r="M520" s="3">
        <v>0</v>
      </c>
    </row>
    <row r="521" spans="1:13">
      <c r="A521" t="s">
        <v>19</v>
      </c>
      <c r="C521" s="3">
        <f>C517*C520*C519-C519</f>
        <v>0</v>
      </c>
      <c r="D521" s="3">
        <f>D517*D520*D519-D519</f>
        <v>0</v>
      </c>
      <c r="E521" s="3">
        <f>E517*E520*E519-E519</f>
        <v>0</v>
      </c>
      <c r="G521" s="3">
        <f>G517*G520*G519-G519</f>
        <v>0</v>
      </c>
      <c r="H521" s="3">
        <f>H517*H520*H519-H519</f>
        <v>0</v>
      </c>
      <c r="I521" s="3">
        <f>I517*I520*I519-I519</f>
        <v>0</v>
      </c>
      <c r="K521" s="3">
        <f>K517*K520*K519-K519</f>
        <v>0</v>
      </c>
      <c r="L521" s="3">
        <f>L517*L520*L519-L519</f>
        <v>0</v>
      </c>
      <c r="M521" s="3">
        <f>M517*M520*M519-M519</f>
        <v>0</v>
      </c>
    </row>
    <row r="523" spans="1:13">
      <c r="A523" s="1" t="s">
        <v>0</v>
      </c>
      <c r="C523" s="1" t="s">
        <v>1</v>
      </c>
      <c r="E523" s="1">
        <f>0+C530+D530+E530 + E514</f>
        <v>0</v>
      </c>
      <c r="G523" s="1" t="s">
        <v>2</v>
      </c>
      <c r="I523" s="1">
        <f>0+G530+H530+I530 + I514</f>
        <v>0</v>
      </c>
      <c r="K523" s="1" t="s">
        <v>3</v>
      </c>
      <c r="M523" s="1">
        <f>0+K530+L530+M530 + M514</f>
        <v>0</v>
      </c>
    </row>
    <row r="524" spans="1:13">
      <c r="A524" t="s">
        <v>81</v>
      </c>
      <c r="C524" s="2" t="s">
        <v>5</v>
      </c>
      <c r="D524" s="2" t="s">
        <v>6</v>
      </c>
      <c r="E524" s="2" t="s">
        <v>7</v>
      </c>
      <c r="G524" s="2" t="s">
        <v>8</v>
      </c>
      <c r="H524" s="2" t="s">
        <v>9</v>
      </c>
      <c r="I524" s="2" t="s">
        <v>10</v>
      </c>
      <c r="K524" s="2" t="s">
        <v>11</v>
      </c>
      <c r="L524" s="2" t="s">
        <v>12</v>
      </c>
      <c r="M524" s="2" t="s">
        <v>13</v>
      </c>
    </row>
    <row r="525" spans="1:13">
      <c r="A525" t="s">
        <v>14</v>
      </c>
      <c r="C525" s="3">
        <v>1.9890000000000001</v>
      </c>
      <c r="D525" s="3">
        <v>7.06</v>
      </c>
      <c r="E525" s="3">
        <v>9.2469999999999999</v>
      </c>
      <c r="G525" s="3">
        <v>2.7389999999999999</v>
      </c>
      <c r="H525" s="3">
        <v>4.5060000000000002</v>
      </c>
      <c r="I525" s="3">
        <v>4.7530000000000001</v>
      </c>
      <c r="K525" s="3">
        <v>2.9159999999999999</v>
      </c>
      <c r="L525" s="3">
        <v>8.3309999999999995</v>
      </c>
      <c r="M525" s="3">
        <v>22.207000000000001</v>
      </c>
    </row>
    <row r="526" spans="1:13">
      <c r="A526" t="s">
        <v>15</v>
      </c>
      <c r="C526" s="3">
        <v>0</v>
      </c>
      <c r="D526" s="3">
        <v>0</v>
      </c>
      <c r="E526" s="3">
        <v>0</v>
      </c>
      <c r="G526" s="3">
        <v>0</v>
      </c>
      <c r="H526" s="3">
        <v>0</v>
      </c>
      <c r="I526" s="3">
        <v>0</v>
      </c>
      <c r="K526" s="3">
        <v>0</v>
      </c>
      <c r="L526" s="3">
        <v>0</v>
      </c>
      <c r="M526" s="3">
        <v>0</v>
      </c>
    </row>
    <row r="527" spans="1:13">
      <c r="A527" t="s">
        <v>16</v>
      </c>
      <c r="C527" s="3">
        <f>C526/C525</f>
        <v>0</v>
      </c>
      <c r="D527" s="3">
        <f>D526/D525</f>
        <v>0</v>
      </c>
      <c r="E527" s="3">
        <f>E526/E525</f>
        <v>0</v>
      </c>
      <c r="G527" s="3">
        <f>G526/G525</f>
        <v>0</v>
      </c>
      <c r="H527" s="3">
        <f>H526/H525</f>
        <v>0</v>
      </c>
      <c r="I527" s="3">
        <f>I526/I525</f>
        <v>0</v>
      </c>
      <c r="K527" s="3">
        <f>K526/K525</f>
        <v>0</v>
      </c>
      <c r="L527" s="3">
        <f>L526/L525</f>
        <v>0</v>
      </c>
      <c r="M527" s="3">
        <f>M526/M525</f>
        <v>0</v>
      </c>
    </row>
    <row r="528" spans="1:13">
      <c r="A528" t="s">
        <v>17</v>
      </c>
      <c r="C528" s="3">
        <v>0</v>
      </c>
      <c r="D528" s="3">
        <v>0</v>
      </c>
      <c r="E528" s="3">
        <v>0</v>
      </c>
      <c r="G528" s="3">
        <v>0</v>
      </c>
      <c r="H528" s="3">
        <v>0</v>
      </c>
      <c r="I528" s="3">
        <v>0</v>
      </c>
      <c r="K528" s="3">
        <v>0</v>
      </c>
      <c r="L528" s="3">
        <v>0</v>
      </c>
      <c r="M528" s="3">
        <v>0</v>
      </c>
    </row>
    <row r="529" spans="1:13">
      <c r="A529" t="s">
        <v>18</v>
      </c>
      <c r="C529" s="3">
        <v>0</v>
      </c>
      <c r="D529" s="3">
        <v>0</v>
      </c>
      <c r="E529" s="3">
        <v>0</v>
      </c>
      <c r="G529" s="3">
        <v>0</v>
      </c>
      <c r="H529" s="3">
        <v>0</v>
      </c>
      <c r="I529" s="3">
        <v>0</v>
      </c>
      <c r="K529" s="3">
        <v>0</v>
      </c>
      <c r="L529" s="3">
        <v>0</v>
      </c>
      <c r="M529" s="3">
        <v>0</v>
      </c>
    </row>
    <row r="530" spans="1:13">
      <c r="A530" t="s">
        <v>19</v>
      </c>
      <c r="C530" s="3">
        <f>C526*C529*C528-C528</f>
        <v>0</v>
      </c>
      <c r="D530" s="3">
        <f>D526*D529*D528-D528</f>
        <v>0</v>
      </c>
      <c r="E530" s="3">
        <f>E526*E529*E528-E528</f>
        <v>0</v>
      </c>
      <c r="G530" s="3">
        <f>G526*G529*G528-G528</f>
        <v>0</v>
      </c>
      <c r="H530" s="3">
        <f>H526*H529*H528-H528</f>
        <v>0</v>
      </c>
      <c r="I530" s="3">
        <f>I526*I529*I528-I528</f>
        <v>0</v>
      </c>
      <c r="K530" s="3">
        <f>K526*K529*K528-K528</f>
        <v>0</v>
      </c>
      <c r="L530" s="3">
        <f>L526*L529*L528-L528</f>
        <v>0</v>
      </c>
      <c r="M530" s="3">
        <f>M526*M529*M528-M528</f>
        <v>0</v>
      </c>
    </row>
    <row r="532" spans="1:13">
      <c r="A532" s="1" t="s">
        <v>0</v>
      </c>
      <c r="C532" s="1" t="s">
        <v>1</v>
      </c>
      <c r="E532" s="1">
        <f>0+C539+D539+E539 + E523</f>
        <v>0</v>
      </c>
      <c r="G532" s="1" t="s">
        <v>2</v>
      </c>
      <c r="I532" s="1">
        <f>0+G539+H539+I539 + I523</f>
        <v>0</v>
      </c>
      <c r="K532" s="1" t="s">
        <v>3</v>
      </c>
      <c r="M532" s="1">
        <f>0+K539+L539+M539 + M523</f>
        <v>0</v>
      </c>
    </row>
    <row r="533" spans="1:13">
      <c r="A533" t="s">
        <v>82</v>
      </c>
      <c r="C533" s="2" t="s">
        <v>5</v>
      </c>
      <c r="D533" s="2" t="s">
        <v>6</v>
      </c>
      <c r="E533" s="2" t="s">
        <v>7</v>
      </c>
      <c r="G533" s="2" t="s">
        <v>8</v>
      </c>
      <c r="H533" s="2" t="s">
        <v>9</v>
      </c>
      <c r="I533" s="2" t="s">
        <v>10</v>
      </c>
      <c r="K533" s="2" t="s">
        <v>11</v>
      </c>
      <c r="L533" s="2" t="s">
        <v>12</v>
      </c>
      <c r="M533" s="2" t="s">
        <v>13</v>
      </c>
    </row>
    <row r="534" spans="1:13">
      <c r="A534" t="s">
        <v>14</v>
      </c>
      <c r="C534" s="3">
        <v>1.296</v>
      </c>
      <c r="D534" s="3">
        <v>9.3979999999999997</v>
      </c>
      <c r="E534" s="3">
        <v>4.8220000000000001</v>
      </c>
      <c r="G534" s="3">
        <v>8.4079999999999995</v>
      </c>
      <c r="H534" s="3">
        <v>3.2</v>
      </c>
      <c r="I534" s="3">
        <v>6.2430000000000003</v>
      </c>
      <c r="K534" s="3">
        <v>2.1840000000000002</v>
      </c>
      <c r="L534" s="3">
        <v>4.1500000000000004</v>
      </c>
      <c r="M534" s="3">
        <v>4.3559999999999999</v>
      </c>
    </row>
    <row r="535" spans="1:13">
      <c r="A535" t="s">
        <v>15</v>
      </c>
      <c r="C535" s="3">
        <v>0</v>
      </c>
      <c r="D535" s="3">
        <v>0</v>
      </c>
      <c r="E535" s="3">
        <v>0</v>
      </c>
      <c r="G535" s="3">
        <v>0</v>
      </c>
      <c r="H535" s="3">
        <v>0</v>
      </c>
      <c r="I535" s="3">
        <v>0</v>
      </c>
      <c r="K535" s="3">
        <v>0</v>
      </c>
      <c r="L535" s="3">
        <v>0</v>
      </c>
      <c r="M535" s="3">
        <v>0</v>
      </c>
    </row>
    <row r="536" spans="1:13">
      <c r="A536" t="s">
        <v>16</v>
      </c>
      <c r="C536" s="3">
        <f>C535/C534</f>
        <v>0</v>
      </c>
      <c r="D536" s="3">
        <f>D535/D534</f>
        <v>0</v>
      </c>
      <c r="E536" s="3">
        <f>E535/E534</f>
        <v>0</v>
      </c>
      <c r="G536" s="3">
        <f>G535/G534</f>
        <v>0</v>
      </c>
      <c r="H536" s="3">
        <f>H535/H534</f>
        <v>0</v>
      </c>
      <c r="I536" s="3">
        <f>I535/I534</f>
        <v>0</v>
      </c>
      <c r="K536" s="3">
        <f>K535/K534</f>
        <v>0</v>
      </c>
      <c r="L536" s="3">
        <f>L535/L534</f>
        <v>0</v>
      </c>
      <c r="M536" s="3">
        <f>M535/M534</f>
        <v>0</v>
      </c>
    </row>
    <row r="537" spans="1:13">
      <c r="A537" t="s">
        <v>17</v>
      </c>
      <c r="C537" s="3">
        <v>0</v>
      </c>
      <c r="D537" s="3">
        <v>0</v>
      </c>
      <c r="E537" s="3">
        <v>0</v>
      </c>
      <c r="G537" s="3">
        <v>0</v>
      </c>
      <c r="H537" s="3">
        <v>0</v>
      </c>
      <c r="I537" s="3">
        <v>0</v>
      </c>
      <c r="K537" s="3">
        <v>0</v>
      </c>
      <c r="L537" s="3">
        <v>0</v>
      </c>
      <c r="M537" s="3">
        <v>0</v>
      </c>
    </row>
    <row r="538" spans="1:13">
      <c r="A538" t="s">
        <v>18</v>
      </c>
      <c r="C538" s="3">
        <v>0</v>
      </c>
      <c r="D538" s="3">
        <v>0</v>
      </c>
      <c r="E538" s="3">
        <v>0</v>
      </c>
      <c r="G538" s="3">
        <v>0</v>
      </c>
      <c r="H538" s="3">
        <v>0</v>
      </c>
      <c r="I538" s="3">
        <v>0</v>
      </c>
      <c r="K538" s="3">
        <v>0</v>
      </c>
      <c r="L538" s="3">
        <v>0</v>
      </c>
      <c r="M538" s="3">
        <v>0</v>
      </c>
    </row>
    <row r="539" spans="1:13">
      <c r="A539" t="s">
        <v>19</v>
      </c>
      <c r="C539" s="3">
        <f>C535*C538*C537-C537</f>
        <v>0</v>
      </c>
      <c r="D539" s="3">
        <f>D535*D538*D537-D537</f>
        <v>0</v>
      </c>
      <c r="E539" s="3">
        <f>E535*E538*E537-E537</f>
        <v>0</v>
      </c>
      <c r="G539" s="3">
        <f>G535*G538*G537-G537</f>
        <v>0</v>
      </c>
      <c r="H539" s="3">
        <f>H535*H538*H537-H537</f>
        <v>0</v>
      </c>
      <c r="I539" s="3">
        <f>I535*I538*I537-I537</f>
        <v>0</v>
      </c>
      <c r="K539" s="3">
        <f>K535*K538*K537-K537</f>
        <v>0</v>
      </c>
      <c r="L539" s="3">
        <f>L535*L538*L537-L537</f>
        <v>0</v>
      </c>
      <c r="M539" s="3">
        <f>M535*M538*M537-M537</f>
        <v>0</v>
      </c>
    </row>
    <row r="541" spans="1:13">
      <c r="A541" s="1" t="s">
        <v>0</v>
      </c>
      <c r="C541" s="1" t="s">
        <v>1</v>
      </c>
      <c r="E541" s="1">
        <f>0+C548+D548+E548 + E532</f>
        <v>0</v>
      </c>
      <c r="G541" s="1" t="s">
        <v>2</v>
      </c>
      <c r="I541" s="1">
        <f>0+G548+H548+I548 + I532</f>
        <v>0</v>
      </c>
      <c r="K541" s="1" t="s">
        <v>3</v>
      </c>
      <c r="M541" s="1">
        <f>0+K548+L548+M548 + M532</f>
        <v>0</v>
      </c>
    </row>
    <row r="542" spans="1:13">
      <c r="A542" t="s">
        <v>83</v>
      </c>
      <c r="C542" s="2" t="s">
        <v>5</v>
      </c>
      <c r="D542" s="2" t="s">
        <v>6</v>
      </c>
      <c r="E542" s="2" t="s">
        <v>7</v>
      </c>
      <c r="G542" s="2" t="s">
        <v>8</v>
      </c>
      <c r="H542" s="2" t="s">
        <v>9</v>
      </c>
      <c r="I542" s="2" t="s">
        <v>10</v>
      </c>
      <c r="K542" s="2" t="s">
        <v>11</v>
      </c>
      <c r="L542" s="2" t="s">
        <v>12</v>
      </c>
      <c r="M542" s="2" t="s">
        <v>13</v>
      </c>
    </row>
    <row r="543" spans="1:13">
      <c r="A543" t="s">
        <v>14</v>
      </c>
      <c r="C543" s="3">
        <v>8.57</v>
      </c>
      <c r="D543" s="3">
        <v>7.0519999999999996</v>
      </c>
      <c r="E543" s="3">
        <v>1.905</v>
      </c>
      <c r="G543" s="3">
        <v>6.1639999999999997</v>
      </c>
      <c r="H543" s="3">
        <v>2.8479999999999999</v>
      </c>
      <c r="I543" s="3">
        <v>3.1480000000000001</v>
      </c>
      <c r="K543" s="3">
        <v>3.4220000000000002</v>
      </c>
      <c r="L543" s="3">
        <v>3.1549999999999998</v>
      </c>
      <c r="M543" s="3">
        <v>3.9550000000000001</v>
      </c>
    </row>
    <row r="544" spans="1:13">
      <c r="A544" t="s">
        <v>15</v>
      </c>
      <c r="C544" s="3">
        <v>0</v>
      </c>
      <c r="D544" s="3">
        <v>0</v>
      </c>
      <c r="E544" s="3">
        <v>0</v>
      </c>
      <c r="G544" s="3">
        <v>0</v>
      </c>
      <c r="H544" s="3">
        <v>0</v>
      </c>
      <c r="I544" s="3">
        <v>0</v>
      </c>
      <c r="K544" s="3">
        <v>0</v>
      </c>
      <c r="L544" s="3">
        <v>0</v>
      </c>
      <c r="M544" s="3">
        <v>0</v>
      </c>
    </row>
    <row r="545" spans="1:13">
      <c r="A545" t="s">
        <v>16</v>
      </c>
      <c r="C545" s="3">
        <f>C544/C543</f>
        <v>0</v>
      </c>
      <c r="D545" s="3">
        <f>D544/D543</f>
        <v>0</v>
      </c>
      <c r="E545" s="3">
        <f>E544/E543</f>
        <v>0</v>
      </c>
      <c r="G545" s="3">
        <f>G544/G543</f>
        <v>0</v>
      </c>
      <c r="H545" s="3">
        <f>H544/H543</f>
        <v>0</v>
      </c>
      <c r="I545" s="3">
        <f>I544/I543</f>
        <v>0</v>
      </c>
      <c r="K545" s="3">
        <f>K544/K543</f>
        <v>0</v>
      </c>
      <c r="L545" s="3">
        <f>L544/L543</f>
        <v>0</v>
      </c>
      <c r="M545" s="3">
        <f>M544/M543</f>
        <v>0</v>
      </c>
    </row>
    <row r="546" spans="1:13">
      <c r="A546" t="s">
        <v>17</v>
      </c>
      <c r="C546" s="3">
        <v>0</v>
      </c>
      <c r="D546" s="3">
        <v>0</v>
      </c>
      <c r="E546" s="3">
        <v>0</v>
      </c>
      <c r="G546" s="3">
        <v>0</v>
      </c>
      <c r="H546" s="3">
        <v>0</v>
      </c>
      <c r="I546" s="3">
        <v>0</v>
      </c>
      <c r="K546" s="3">
        <v>0</v>
      </c>
      <c r="L546" s="3">
        <v>0</v>
      </c>
      <c r="M546" s="3">
        <v>0</v>
      </c>
    </row>
    <row r="547" spans="1:13">
      <c r="A547" t="s">
        <v>18</v>
      </c>
      <c r="C547" s="3">
        <v>0</v>
      </c>
      <c r="D547" s="3">
        <v>0</v>
      </c>
      <c r="E547" s="3">
        <v>0</v>
      </c>
      <c r="G547" s="3">
        <v>0</v>
      </c>
      <c r="H547" s="3">
        <v>0</v>
      </c>
      <c r="I547" s="3">
        <v>0</v>
      </c>
      <c r="K547" s="3">
        <v>0</v>
      </c>
      <c r="L547" s="3">
        <v>0</v>
      </c>
      <c r="M547" s="3">
        <v>0</v>
      </c>
    </row>
    <row r="548" spans="1:13">
      <c r="A548" t="s">
        <v>19</v>
      </c>
      <c r="C548" s="3">
        <f>C544*C547*C546-C546</f>
        <v>0</v>
      </c>
      <c r="D548" s="3">
        <f>D544*D547*D546-D546</f>
        <v>0</v>
      </c>
      <c r="E548" s="3">
        <f>E544*E547*E546-E546</f>
        <v>0</v>
      </c>
      <c r="G548" s="3">
        <f>G544*G547*G546-G546</f>
        <v>0</v>
      </c>
      <c r="H548" s="3">
        <f>H544*H547*H546-H546</f>
        <v>0</v>
      </c>
      <c r="I548" s="3">
        <f>I544*I547*I546-I546</f>
        <v>0</v>
      </c>
      <c r="K548" s="3">
        <f>K544*K547*K546-K546</f>
        <v>0</v>
      </c>
      <c r="L548" s="3">
        <f>L544*L547*L546-L546</f>
        <v>0</v>
      </c>
      <c r="M548" s="3">
        <f>M544*M547*M546-M546</f>
        <v>0</v>
      </c>
    </row>
    <row r="550" spans="1:13">
      <c r="A550" s="1" t="s">
        <v>0</v>
      </c>
      <c r="C550" s="1" t="s">
        <v>1</v>
      </c>
      <c r="E550" s="1">
        <f>0+C557+D557+E557 + E541</f>
        <v>0</v>
      </c>
      <c r="G550" s="1" t="s">
        <v>2</v>
      </c>
      <c r="I550" s="1">
        <f>0+G557+H557+I557 + I541</f>
        <v>0</v>
      </c>
      <c r="K550" s="1" t="s">
        <v>3</v>
      </c>
      <c r="M550" s="1">
        <f>0+K557+L557+M557 + M541</f>
        <v>0</v>
      </c>
    </row>
    <row r="551" spans="1:13">
      <c r="A551" t="s">
        <v>84</v>
      </c>
      <c r="C551" s="2" t="s">
        <v>5</v>
      </c>
      <c r="D551" s="2" t="s">
        <v>6</v>
      </c>
      <c r="E551" s="2" t="s">
        <v>7</v>
      </c>
      <c r="G551" s="2" t="s">
        <v>8</v>
      </c>
      <c r="H551" s="2" t="s">
        <v>9</v>
      </c>
      <c r="I551" s="2" t="s">
        <v>10</v>
      </c>
      <c r="K551" s="2" t="s">
        <v>11</v>
      </c>
      <c r="L551" s="2" t="s">
        <v>12</v>
      </c>
      <c r="M551" s="2" t="s">
        <v>13</v>
      </c>
    </row>
    <row r="552" spans="1:13">
      <c r="A552" t="s">
        <v>14</v>
      </c>
      <c r="C552" s="3">
        <v>1.1819999999999999</v>
      </c>
      <c r="D552" s="3">
        <v>8.8369999999999997</v>
      </c>
      <c r="E552" s="3">
        <v>12.116</v>
      </c>
      <c r="G552" s="3">
        <v>1.7130000000000001</v>
      </c>
      <c r="H552" s="3">
        <v>4.87</v>
      </c>
      <c r="I552" s="3">
        <v>17.042999999999999</v>
      </c>
      <c r="K552" s="3">
        <v>1.532</v>
      </c>
      <c r="L552" s="3">
        <v>4.8840000000000003</v>
      </c>
      <c r="M552" s="3">
        <v>4.3760000000000003</v>
      </c>
    </row>
    <row r="553" spans="1:13">
      <c r="A553" t="s">
        <v>15</v>
      </c>
      <c r="C553" s="3">
        <v>0</v>
      </c>
      <c r="D553" s="3">
        <v>0</v>
      </c>
      <c r="E553" s="3">
        <v>0</v>
      </c>
      <c r="G553" s="3">
        <v>0</v>
      </c>
      <c r="H553" s="3">
        <v>0</v>
      </c>
      <c r="I553" s="3">
        <v>0</v>
      </c>
      <c r="K553" s="3">
        <v>0</v>
      </c>
      <c r="L553" s="3">
        <v>0</v>
      </c>
      <c r="M553" s="3">
        <v>0</v>
      </c>
    </row>
    <row r="554" spans="1:13">
      <c r="A554" t="s">
        <v>16</v>
      </c>
      <c r="C554" s="3">
        <f>C553/C552</f>
        <v>0</v>
      </c>
      <c r="D554" s="3">
        <f>D553/D552</f>
        <v>0</v>
      </c>
      <c r="E554" s="3">
        <f>E553/E552</f>
        <v>0</v>
      </c>
      <c r="G554" s="3">
        <f>G553/G552</f>
        <v>0</v>
      </c>
      <c r="H554" s="3">
        <f>H553/H552</f>
        <v>0</v>
      </c>
      <c r="I554" s="3">
        <f>I553/I552</f>
        <v>0</v>
      </c>
      <c r="K554" s="3">
        <f>K553/K552</f>
        <v>0</v>
      </c>
      <c r="L554" s="3">
        <f>L553/L552</f>
        <v>0</v>
      </c>
      <c r="M554" s="3">
        <f>M553/M552</f>
        <v>0</v>
      </c>
    </row>
    <row r="555" spans="1:13">
      <c r="A555" t="s">
        <v>17</v>
      </c>
      <c r="C555" s="3">
        <v>0</v>
      </c>
      <c r="D555" s="3">
        <v>0</v>
      </c>
      <c r="E555" s="3">
        <v>0</v>
      </c>
      <c r="G555" s="3">
        <v>0</v>
      </c>
      <c r="H555" s="3">
        <v>0</v>
      </c>
      <c r="I555" s="3">
        <v>0</v>
      </c>
      <c r="K555" s="3">
        <v>0</v>
      </c>
      <c r="L555" s="3">
        <v>0</v>
      </c>
      <c r="M555" s="3">
        <v>0</v>
      </c>
    </row>
    <row r="556" spans="1:13">
      <c r="A556" t="s">
        <v>18</v>
      </c>
      <c r="C556" s="3">
        <v>0</v>
      </c>
      <c r="D556" s="3">
        <v>0</v>
      </c>
      <c r="E556" s="3">
        <v>0</v>
      </c>
      <c r="G556" s="3">
        <v>0</v>
      </c>
      <c r="H556" s="3">
        <v>0</v>
      </c>
      <c r="I556" s="3">
        <v>0</v>
      </c>
      <c r="K556" s="3">
        <v>0</v>
      </c>
      <c r="L556" s="3">
        <v>0</v>
      </c>
      <c r="M556" s="3">
        <v>0</v>
      </c>
    </row>
    <row r="557" spans="1:13">
      <c r="A557" t="s">
        <v>19</v>
      </c>
      <c r="C557" s="3">
        <f>C553*C556*C555-C555</f>
        <v>0</v>
      </c>
      <c r="D557" s="3">
        <f>D553*D556*D555-D555</f>
        <v>0</v>
      </c>
      <c r="E557" s="3">
        <f>E553*E556*E555-E555</f>
        <v>0</v>
      </c>
      <c r="G557" s="3">
        <f>G553*G556*G555-G555</f>
        <v>0</v>
      </c>
      <c r="H557" s="3">
        <f>H553*H556*H555-H555</f>
        <v>0</v>
      </c>
      <c r="I557" s="3">
        <f>I553*I556*I555-I555</f>
        <v>0</v>
      </c>
      <c r="K557" s="3">
        <f>K553*K556*K555-K555</f>
        <v>0</v>
      </c>
      <c r="L557" s="3">
        <f>L553*L556*L555-L555</f>
        <v>0</v>
      </c>
      <c r="M557" s="3">
        <f>M553*M556*M555-M555</f>
        <v>0</v>
      </c>
    </row>
    <row r="559" spans="1:13">
      <c r="A559" s="1" t="s">
        <v>49</v>
      </c>
      <c r="C559" s="1" t="s">
        <v>1</v>
      </c>
      <c r="E559" s="1">
        <f>0+C566+D566+E566 + E550</f>
        <v>0</v>
      </c>
      <c r="G559" s="1" t="s">
        <v>2</v>
      </c>
      <c r="I559" s="1">
        <f>0+G566+H566+I566 + I550</f>
        <v>0</v>
      </c>
      <c r="K559" s="1" t="s">
        <v>3</v>
      </c>
      <c r="M559" s="1">
        <f>0+K566+L566+M566 + M550</f>
        <v>0</v>
      </c>
    </row>
    <row r="560" spans="1:13">
      <c r="A560" t="s">
        <v>85</v>
      </c>
      <c r="C560" s="2" t="s">
        <v>5</v>
      </c>
      <c r="D560" s="2" t="s">
        <v>6</v>
      </c>
      <c r="E560" s="2" t="s">
        <v>7</v>
      </c>
      <c r="G560" s="2" t="s">
        <v>8</v>
      </c>
      <c r="H560" s="2" t="s">
        <v>9</v>
      </c>
      <c r="I560" s="2" t="s">
        <v>10</v>
      </c>
      <c r="K560" s="2" t="s">
        <v>11</v>
      </c>
      <c r="L560" s="2" t="s">
        <v>12</v>
      </c>
      <c r="M560" s="2" t="s">
        <v>13</v>
      </c>
    </row>
    <row r="561" spans="1:13">
      <c r="A561" t="s">
        <v>14</v>
      </c>
      <c r="C561" s="3">
        <v>1.718</v>
      </c>
      <c r="D561" s="3">
        <v>4.8840000000000003</v>
      </c>
      <c r="E561" s="3">
        <v>3.907</v>
      </c>
      <c r="G561" s="3">
        <v>3.0649999999999999</v>
      </c>
      <c r="H561" s="3">
        <v>2.34</v>
      </c>
      <c r="I561" s="3">
        <v>11.618</v>
      </c>
      <c r="K561" s="3">
        <v>1.8140000000000001</v>
      </c>
      <c r="L561" s="3">
        <v>1.4179999999999999</v>
      </c>
      <c r="M561" s="3">
        <v>3.72</v>
      </c>
    </row>
    <row r="562" spans="1:13">
      <c r="A562" t="s">
        <v>15</v>
      </c>
      <c r="C562" s="3">
        <v>0</v>
      </c>
      <c r="D562" s="3">
        <v>0</v>
      </c>
      <c r="E562" s="3">
        <v>0</v>
      </c>
      <c r="G562" s="3">
        <v>0</v>
      </c>
      <c r="H562" s="3">
        <v>0</v>
      </c>
      <c r="I562" s="3">
        <v>0</v>
      </c>
      <c r="K562" s="3">
        <v>0</v>
      </c>
      <c r="L562" s="3">
        <v>0</v>
      </c>
      <c r="M562" s="3">
        <v>0</v>
      </c>
    </row>
    <row r="563" spans="1:13">
      <c r="A563" t="s">
        <v>16</v>
      </c>
      <c r="C563" s="3">
        <f>C562/C561</f>
        <v>0</v>
      </c>
      <c r="D563" s="3">
        <f>D562/D561</f>
        <v>0</v>
      </c>
      <c r="E563" s="3">
        <f>E562/E561</f>
        <v>0</v>
      </c>
      <c r="G563" s="3">
        <f>G562/G561</f>
        <v>0</v>
      </c>
      <c r="H563" s="3">
        <f>H562/H561</f>
        <v>0</v>
      </c>
      <c r="I563" s="3">
        <f>I562/I561</f>
        <v>0</v>
      </c>
      <c r="K563" s="3">
        <f>K562/K561</f>
        <v>0</v>
      </c>
      <c r="L563" s="3">
        <f>L562/L561</f>
        <v>0</v>
      </c>
      <c r="M563" s="3">
        <f>M562/M561</f>
        <v>0</v>
      </c>
    </row>
    <row r="564" spans="1:13">
      <c r="A564" t="s">
        <v>17</v>
      </c>
      <c r="C564" s="3">
        <v>0</v>
      </c>
      <c r="D564" s="3">
        <v>0</v>
      </c>
      <c r="E564" s="3">
        <v>0</v>
      </c>
      <c r="G564" s="3">
        <v>0</v>
      </c>
      <c r="H564" s="3">
        <v>0</v>
      </c>
      <c r="I564" s="3">
        <v>0</v>
      </c>
      <c r="K564" s="3">
        <v>0</v>
      </c>
      <c r="L564" s="3">
        <v>0</v>
      </c>
      <c r="M564" s="3">
        <v>0</v>
      </c>
    </row>
    <row r="565" spans="1:13">
      <c r="A565" t="s">
        <v>18</v>
      </c>
      <c r="C565" s="3">
        <v>0</v>
      </c>
      <c r="D565" s="3">
        <v>0</v>
      </c>
      <c r="E565" s="3">
        <v>0</v>
      </c>
      <c r="G565" s="3">
        <v>0</v>
      </c>
      <c r="H565" s="3">
        <v>0</v>
      </c>
      <c r="I565" s="3">
        <v>0</v>
      </c>
      <c r="K565" s="3">
        <v>0</v>
      </c>
      <c r="L565" s="3">
        <v>0</v>
      </c>
      <c r="M565" s="3">
        <v>0</v>
      </c>
    </row>
    <row r="566" spans="1:13">
      <c r="A566" t="s">
        <v>19</v>
      </c>
      <c r="C566" s="3">
        <f>C562*C565*C564-C564</f>
        <v>0</v>
      </c>
      <c r="D566" s="3">
        <f>D562*D565*D564-D564</f>
        <v>0</v>
      </c>
      <c r="E566" s="3">
        <f>E562*E565*E564-E564</f>
        <v>0</v>
      </c>
      <c r="G566" s="3">
        <f>G562*G565*G564-G564</f>
        <v>0</v>
      </c>
      <c r="H566" s="3">
        <f>H562*H565*H564-H564</f>
        <v>0</v>
      </c>
      <c r="I566" s="3">
        <f>I562*I565*I564-I564</f>
        <v>0</v>
      </c>
      <c r="K566" s="3">
        <f>K562*K565*K564-K564</f>
        <v>0</v>
      </c>
      <c r="L566" s="3">
        <f>L562*L565*L564-L564</f>
        <v>0</v>
      </c>
      <c r="M566" s="3">
        <f>M562*M565*M564-M564</f>
        <v>0</v>
      </c>
    </row>
    <row r="568" spans="1:13">
      <c r="A568" s="1" t="s">
        <v>49</v>
      </c>
      <c r="C568" s="1" t="s">
        <v>1</v>
      </c>
      <c r="E568" s="1">
        <f>0+C575+D575+E575 + E559</f>
        <v>0</v>
      </c>
      <c r="G568" s="1" t="s">
        <v>2</v>
      </c>
      <c r="I568" s="1">
        <f>0+G575+H575+I575 + I559</f>
        <v>0</v>
      </c>
      <c r="K568" s="1" t="s">
        <v>3</v>
      </c>
      <c r="M568" s="1">
        <f>0+K575+L575+M575 + M559</f>
        <v>0</v>
      </c>
    </row>
    <row r="569" spans="1:13">
      <c r="A569" t="s">
        <v>86</v>
      </c>
      <c r="C569" s="2" t="s">
        <v>5</v>
      </c>
      <c r="D569" s="2" t="s">
        <v>6</v>
      </c>
      <c r="E569" s="2" t="s">
        <v>7</v>
      </c>
      <c r="G569" s="2" t="s">
        <v>8</v>
      </c>
      <c r="H569" s="2" t="s">
        <v>9</v>
      </c>
      <c r="I569" s="2" t="s">
        <v>10</v>
      </c>
      <c r="K569" s="2" t="s">
        <v>11</v>
      </c>
      <c r="L569" s="2" t="s">
        <v>12</v>
      </c>
      <c r="M569" s="2" t="s">
        <v>13</v>
      </c>
    </row>
    <row r="570" spans="1:13">
      <c r="A570" t="s">
        <v>14</v>
      </c>
      <c r="C570" s="3">
        <v>4.9109999999999996</v>
      </c>
      <c r="D570" s="3">
        <v>4.7480000000000002</v>
      </c>
      <c r="E570" s="3">
        <v>8.6029999999999998</v>
      </c>
      <c r="G570" s="3">
        <v>2.589</v>
      </c>
      <c r="H570" s="3">
        <v>3.9020000000000001</v>
      </c>
      <c r="I570" s="3">
        <v>4.3630000000000004</v>
      </c>
      <c r="K570" s="3">
        <v>2.4980000000000002</v>
      </c>
      <c r="L570" s="3">
        <v>1.292</v>
      </c>
      <c r="M570" s="3">
        <v>1.181</v>
      </c>
    </row>
    <row r="571" spans="1:13">
      <c r="A571" t="s">
        <v>15</v>
      </c>
      <c r="C571" s="3">
        <v>0</v>
      </c>
      <c r="D571" s="3">
        <v>0</v>
      </c>
      <c r="E571" s="3">
        <v>0</v>
      </c>
      <c r="G571" s="3">
        <v>0</v>
      </c>
      <c r="H571" s="3">
        <v>0</v>
      </c>
      <c r="I571" s="3">
        <v>0</v>
      </c>
      <c r="K571" s="3">
        <v>0</v>
      </c>
      <c r="L571" s="3">
        <v>0</v>
      </c>
      <c r="M571" s="3">
        <v>0</v>
      </c>
    </row>
    <row r="572" spans="1:13">
      <c r="A572" t="s">
        <v>16</v>
      </c>
      <c r="C572" s="3">
        <f>C571/C570</f>
        <v>0</v>
      </c>
      <c r="D572" s="3">
        <f>D571/D570</f>
        <v>0</v>
      </c>
      <c r="E572" s="3">
        <f>E571/E570</f>
        <v>0</v>
      </c>
      <c r="G572" s="3">
        <f>G571/G570</f>
        <v>0</v>
      </c>
      <c r="H572" s="3">
        <f>H571/H570</f>
        <v>0</v>
      </c>
      <c r="I572" s="3">
        <f>I571/I570</f>
        <v>0</v>
      </c>
      <c r="K572" s="3">
        <f>K571/K570</f>
        <v>0</v>
      </c>
      <c r="L572" s="3">
        <f>L571/L570</f>
        <v>0</v>
      </c>
      <c r="M572" s="3">
        <f>M571/M570</f>
        <v>0</v>
      </c>
    </row>
    <row r="573" spans="1:13">
      <c r="A573" t="s">
        <v>17</v>
      </c>
      <c r="C573" s="3">
        <v>0</v>
      </c>
      <c r="D573" s="3">
        <v>0</v>
      </c>
      <c r="E573" s="3">
        <v>0</v>
      </c>
      <c r="G573" s="3">
        <v>0</v>
      </c>
      <c r="H573" s="3">
        <v>0</v>
      </c>
      <c r="I573" s="3">
        <v>0</v>
      </c>
      <c r="K573" s="3">
        <v>0</v>
      </c>
      <c r="L573" s="3">
        <v>0</v>
      </c>
      <c r="M573" s="3">
        <v>0</v>
      </c>
    </row>
    <row r="574" spans="1:13">
      <c r="A574" t="s">
        <v>18</v>
      </c>
      <c r="C574" s="3">
        <v>0</v>
      </c>
      <c r="D574" s="3">
        <v>0</v>
      </c>
      <c r="E574" s="3">
        <v>0</v>
      </c>
      <c r="G574" s="3">
        <v>0</v>
      </c>
      <c r="H574" s="3">
        <v>0</v>
      </c>
      <c r="I574" s="3">
        <v>0</v>
      </c>
      <c r="K574" s="3">
        <v>0</v>
      </c>
      <c r="L574" s="3">
        <v>0</v>
      </c>
      <c r="M574" s="3">
        <v>0</v>
      </c>
    </row>
    <row r="575" spans="1:13">
      <c r="A575" t="s">
        <v>19</v>
      </c>
      <c r="C575" s="3">
        <f>C571*C574*C573-C573</f>
        <v>0</v>
      </c>
      <c r="D575" s="3">
        <f>D571*D574*D573-D573</f>
        <v>0</v>
      </c>
      <c r="E575" s="3">
        <f>E571*E574*E573-E573</f>
        <v>0</v>
      </c>
      <c r="G575" s="3">
        <f>G571*G574*G573-G573</f>
        <v>0</v>
      </c>
      <c r="H575" s="3">
        <f>H571*H574*H573-H573</f>
        <v>0</v>
      </c>
      <c r="I575" s="3">
        <f>I571*I574*I573-I573</f>
        <v>0</v>
      </c>
      <c r="K575" s="3">
        <f>K571*K574*K573-K573</f>
        <v>0</v>
      </c>
      <c r="L575" s="3">
        <f>L571*L574*L573-L573</f>
        <v>0</v>
      </c>
      <c r="M575" s="3">
        <f>M571*M574*M573-M573</f>
        <v>0</v>
      </c>
    </row>
    <row r="577" spans="1:13">
      <c r="A577" s="1" t="s">
        <v>49</v>
      </c>
      <c r="C577" s="1" t="s">
        <v>1</v>
      </c>
      <c r="E577" s="1">
        <f>0+C584+D584+E584 + E568</f>
        <v>0</v>
      </c>
      <c r="G577" s="1" t="s">
        <v>2</v>
      </c>
      <c r="I577" s="1">
        <f>0+G584+H584+I584 + I568</f>
        <v>0</v>
      </c>
      <c r="K577" s="1" t="s">
        <v>3</v>
      </c>
      <c r="M577" s="1">
        <f>0+K584+L584+M584 + M568</f>
        <v>0</v>
      </c>
    </row>
    <row r="578" spans="1:13">
      <c r="A578" t="s">
        <v>87</v>
      </c>
      <c r="C578" s="2" t="s">
        <v>5</v>
      </c>
      <c r="D578" s="2" t="s">
        <v>6</v>
      </c>
      <c r="E578" s="2" t="s">
        <v>7</v>
      </c>
      <c r="G578" s="2" t="s">
        <v>8</v>
      </c>
      <c r="H578" s="2" t="s">
        <v>9</v>
      </c>
      <c r="I578" s="2" t="s">
        <v>10</v>
      </c>
      <c r="K578" s="2" t="s">
        <v>11</v>
      </c>
      <c r="L578" s="2" t="s">
        <v>12</v>
      </c>
      <c r="M578" s="2" t="s">
        <v>13</v>
      </c>
    </row>
    <row r="579" spans="1:13">
      <c r="A579" t="s">
        <v>14</v>
      </c>
      <c r="C579" s="3">
        <v>1.3120000000000001</v>
      </c>
      <c r="D579" s="3">
        <v>10.611000000000001</v>
      </c>
      <c r="E579" s="3">
        <v>97.120999999999995</v>
      </c>
      <c r="G579" s="3">
        <v>3.0830000000000002</v>
      </c>
      <c r="H579" s="3">
        <v>1.42</v>
      </c>
      <c r="I579" s="3">
        <v>7.6879999999999997</v>
      </c>
      <c r="K579" s="3">
        <v>1.81</v>
      </c>
      <c r="L579" s="3">
        <v>7.4219999999999997</v>
      </c>
      <c r="M579" s="3">
        <v>5.6459999999999999</v>
      </c>
    </row>
    <row r="580" spans="1:13">
      <c r="A580" t="s">
        <v>15</v>
      </c>
      <c r="C580" s="3">
        <v>0</v>
      </c>
      <c r="D580" s="3">
        <v>0</v>
      </c>
      <c r="E580" s="3">
        <v>0</v>
      </c>
      <c r="G580" s="3">
        <v>0</v>
      </c>
      <c r="H580" s="3">
        <v>0</v>
      </c>
      <c r="I580" s="3">
        <v>0</v>
      </c>
      <c r="K580" s="3">
        <v>0</v>
      </c>
      <c r="L580" s="3">
        <v>0</v>
      </c>
      <c r="M580" s="3">
        <v>0</v>
      </c>
    </row>
    <row r="581" spans="1:13">
      <c r="A581" t="s">
        <v>16</v>
      </c>
      <c r="C581" s="3">
        <f>C580/C579</f>
        <v>0</v>
      </c>
      <c r="D581" s="3">
        <f>D580/D579</f>
        <v>0</v>
      </c>
      <c r="E581" s="3">
        <f>E580/E579</f>
        <v>0</v>
      </c>
      <c r="G581" s="3">
        <f>G580/G579</f>
        <v>0</v>
      </c>
      <c r="H581" s="3">
        <f>H580/H579</f>
        <v>0</v>
      </c>
      <c r="I581" s="3">
        <f>I580/I579</f>
        <v>0</v>
      </c>
      <c r="K581" s="3">
        <f>K580/K579</f>
        <v>0</v>
      </c>
      <c r="L581" s="3">
        <f>L580/L579</f>
        <v>0</v>
      </c>
      <c r="M581" s="3">
        <f>M580/M579</f>
        <v>0</v>
      </c>
    </row>
    <row r="582" spans="1:13">
      <c r="A582" t="s">
        <v>17</v>
      </c>
      <c r="C582" s="3">
        <v>0</v>
      </c>
      <c r="D582" s="3">
        <v>0</v>
      </c>
      <c r="E582" s="3">
        <v>0</v>
      </c>
      <c r="G582" s="3">
        <v>0</v>
      </c>
      <c r="H582" s="3">
        <v>0</v>
      </c>
      <c r="I582" s="3">
        <v>0</v>
      </c>
      <c r="K582" s="3">
        <v>0</v>
      </c>
      <c r="L582" s="3">
        <v>0</v>
      </c>
      <c r="M582" s="3">
        <v>0</v>
      </c>
    </row>
    <row r="583" spans="1:13">
      <c r="A583" t="s">
        <v>18</v>
      </c>
      <c r="C583" s="3">
        <v>0</v>
      </c>
      <c r="D583" s="3">
        <v>0</v>
      </c>
      <c r="E583" s="3">
        <v>0</v>
      </c>
      <c r="G583" s="3">
        <v>0</v>
      </c>
      <c r="H583" s="3">
        <v>0</v>
      </c>
      <c r="I583" s="3">
        <v>0</v>
      </c>
      <c r="K583" s="3">
        <v>0</v>
      </c>
      <c r="L583" s="3">
        <v>0</v>
      </c>
      <c r="M583" s="3">
        <v>0</v>
      </c>
    </row>
    <row r="584" spans="1:13">
      <c r="A584" t="s">
        <v>19</v>
      </c>
      <c r="C584" s="3">
        <f>C580*C583*C582-C582</f>
        <v>0</v>
      </c>
      <c r="D584" s="3">
        <f>D580*D583*D582-D582</f>
        <v>0</v>
      </c>
      <c r="E584" s="3">
        <f>E580*E583*E582-E582</f>
        <v>0</v>
      </c>
      <c r="G584" s="3">
        <f>G580*G583*G582-G582</f>
        <v>0</v>
      </c>
      <c r="H584" s="3">
        <f>H580*H583*H582-H582</f>
        <v>0</v>
      </c>
      <c r="I584" s="3">
        <f>I580*I583*I582-I582</f>
        <v>0</v>
      </c>
      <c r="K584" s="3">
        <f>K580*K583*K582-K582</f>
        <v>0</v>
      </c>
      <c r="L584" s="3">
        <f>L580*L583*L582-L582</f>
        <v>0</v>
      </c>
      <c r="M584" s="3">
        <f>M580*M583*M582-M582</f>
        <v>0</v>
      </c>
    </row>
    <row r="586" spans="1:13">
      <c r="A586" s="1" t="s">
        <v>49</v>
      </c>
      <c r="C586" s="1" t="s">
        <v>1</v>
      </c>
      <c r="E586" s="1">
        <f>0+C593+D593+E593 + E577</f>
        <v>0</v>
      </c>
      <c r="G586" s="1" t="s">
        <v>2</v>
      </c>
      <c r="I586" s="1">
        <f>0+G593+H593+I593 + I577</f>
        <v>0</v>
      </c>
      <c r="K586" s="1" t="s">
        <v>3</v>
      </c>
      <c r="M586" s="1">
        <f>0+K593+L593+M593 + M577</f>
        <v>0</v>
      </c>
    </row>
    <row r="587" spans="1:13">
      <c r="A587" t="s">
        <v>88</v>
      </c>
      <c r="C587" s="2" t="s">
        <v>5</v>
      </c>
      <c r="D587" s="2" t="s">
        <v>6</v>
      </c>
      <c r="E587" s="2" t="s">
        <v>7</v>
      </c>
      <c r="G587" s="2" t="s">
        <v>8</v>
      </c>
      <c r="H587" s="2" t="s">
        <v>9</v>
      </c>
      <c r="I587" s="2" t="s">
        <v>10</v>
      </c>
      <c r="K587" s="2" t="s">
        <v>11</v>
      </c>
      <c r="L587" s="2" t="s">
        <v>12</v>
      </c>
      <c r="M587" s="2" t="s">
        <v>13</v>
      </c>
    </row>
    <row r="588" spans="1:13">
      <c r="A588" t="s">
        <v>14</v>
      </c>
      <c r="C588" s="3">
        <v>5.3049999999999997</v>
      </c>
      <c r="D588" s="3">
        <v>5.6349999999999998</v>
      </c>
      <c r="E588" s="3">
        <v>1.135</v>
      </c>
      <c r="G588" s="3">
        <v>3.7189999999999999</v>
      </c>
      <c r="H588" s="3">
        <v>2.0539999999999998</v>
      </c>
      <c r="I588" s="3">
        <v>3.4039999999999999</v>
      </c>
      <c r="K588" s="3">
        <v>41.39</v>
      </c>
      <c r="L588" s="3">
        <v>7.7050000000000001</v>
      </c>
      <c r="M588" s="3">
        <v>1.952</v>
      </c>
    </row>
    <row r="589" spans="1:13">
      <c r="A589" t="s">
        <v>15</v>
      </c>
      <c r="C589" s="3">
        <v>0</v>
      </c>
      <c r="D589" s="3">
        <v>0</v>
      </c>
      <c r="E589" s="3">
        <v>0</v>
      </c>
      <c r="G589" s="3">
        <v>0</v>
      </c>
      <c r="H589" s="3">
        <v>0</v>
      </c>
      <c r="I589" s="3">
        <v>0</v>
      </c>
      <c r="K589" s="3">
        <v>0</v>
      </c>
      <c r="L589" s="3">
        <v>0</v>
      </c>
      <c r="M589" s="3">
        <v>0</v>
      </c>
    </row>
    <row r="590" spans="1:13">
      <c r="A590" t="s">
        <v>16</v>
      </c>
      <c r="C590" s="3">
        <f>C589/C588</f>
        <v>0</v>
      </c>
      <c r="D590" s="3">
        <f>D589/D588</f>
        <v>0</v>
      </c>
      <c r="E590" s="3">
        <f>E589/E588</f>
        <v>0</v>
      </c>
      <c r="G590" s="3">
        <f>G589/G588</f>
        <v>0</v>
      </c>
      <c r="H590" s="3">
        <f>H589/H588</f>
        <v>0</v>
      </c>
      <c r="I590" s="3">
        <f>I589/I588</f>
        <v>0</v>
      </c>
      <c r="K590" s="3">
        <f>K589/K588</f>
        <v>0</v>
      </c>
      <c r="L590" s="3">
        <f>L589/L588</f>
        <v>0</v>
      </c>
      <c r="M590" s="3">
        <f>M589/M588</f>
        <v>0</v>
      </c>
    </row>
    <row r="591" spans="1:13">
      <c r="A591" t="s">
        <v>17</v>
      </c>
      <c r="C591" s="3">
        <v>0</v>
      </c>
      <c r="D591" s="3">
        <v>0</v>
      </c>
      <c r="E591" s="3">
        <v>0</v>
      </c>
      <c r="G591" s="3">
        <v>0</v>
      </c>
      <c r="H591" s="3">
        <v>0</v>
      </c>
      <c r="I591" s="3">
        <v>0</v>
      </c>
      <c r="K591" s="3">
        <v>0</v>
      </c>
      <c r="L591" s="3">
        <v>0</v>
      </c>
      <c r="M591" s="3">
        <v>0</v>
      </c>
    </row>
    <row r="592" spans="1:13">
      <c r="A592" t="s">
        <v>18</v>
      </c>
      <c r="C592" s="3">
        <v>0</v>
      </c>
      <c r="D592" s="3">
        <v>0</v>
      </c>
      <c r="E592" s="3">
        <v>0</v>
      </c>
      <c r="G592" s="3">
        <v>0</v>
      </c>
      <c r="H592" s="3">
        <v>0</v>
      </c>
      <c r="I592" s="3">
        <v>0</v>
      </c>
      <c r="K592" s="3">
        <v>0</v>
      </c>
      <c r="L592" s="3">
        <v>0</v>
      </c>
      <c r="M592" s="3">
        <v>0</v>
      </c>
    </row>
    <row r="593" spans="1:13">
      <c r="A593" t="s">
        <v>19</v>
      </c>
      <c r="C593" s="3">
        <f>C589*C592*C591-C591</f>
        <v>0</v>
      </c>
      <c r="D593" s="3">
        <f>D589*D592*D591-D591</f>
        <v>0</v>
      </c>
      <c r="E593" s="3">
        <f>E589*E592*E591-E591</f>
        <v>0</v>
      </c>
      <c r="G593" s="3">
        <f>G589*G592*G591-G591</f>
        <v>0</v>
      </c>
      <c r="H593" s="3">
        <f>H589*H592*H591-H591</f>
        <v>0</v>
      </c>
      <c r="I593" s="3">
        <f>I589*I592*I591-I591</f>
        <v>0</v>
      </c>
      <c r="K593" s="3">
        <f>K589*K592*K591-K591</f>
        <v>0</v>
      </c>
      <c r="L593" s="3">
        <f>L589*L592*L591-L591</f>
        <v>0</v>
      </c>
      <c r="M593" s="3">
        <f>M589*M592*M591-M591</f>
        <v>0</v>
      </c>
    </row>
    <row r="595" spans="1:13">
      <c r="A595" s="1" t="s">
        <v>49</v>
      </c>
      <c r="C595" s="1" t="s">
        <v>1</v>
      </c>
      <c r="E595" s="1">
        <f>0+C602+D602+E602 + E586</f>
        <v>0</v>
      </c>
      <c r="G595" s="1" t="s">
        <v>2</v>
      </c>
      <c r="I595" s="1">
        <f>0+G602+H602+I602 + I586</f>
        <v>0</v>
      </c>
      <c r="K595" s="1" t="s">
        <v>3</v>
      </c>
      <c r="M595" s="1">
        <f>0+K602+L602+M602 + M586</f>
        <v>0</v>
      </c>
    </row>
    <row r="596" spans="1:13">
      <c r="A596" t="s">
        <v>89</v>
      </c>
      <c r="C596" s="2" t="s">
        <v>5</v>
      </c>
      <c r="D596" s="2" t="s">
        <v>6</v>
      </c>
      <c r="E596" s="2" t="s">
        <v>7</v>
      </c>
      <c r="G596" s="2" t="s">
        <v>8</v>
      </c>
      <c r="H596" s="2" t="s">
        <v>9</v>
      </c>
      <c r="I596" s="2" t="s">
        <v>10</v>
      </c>
      <c r="K596" s="2" t="s">
        <v>11</v>
      </c>
      <c r="L596" s="2" t="s">
        <v>12</v>
      </c>
      <c r="M596" s="2" t="s">
        <v>13</v>
      </c>
    </row>
    <row r="597" spans="1:13">
      <c r="A597" t="s">
        <v>14</v>
      </c>
      <c r="C597" s="3">
        <v>3.9279999999999999</v>
      </c>
      <c r="D597" s="3">
        <v>5.1280000000000001</v>
      </c>
      <c r="E597" s="3">
        <v>7.5860000000000003</v>
      </c>
      <c r="G597" s="3">
        <v>3.5760000000000001</v>
      </c>
      <c r="H597" s="3">
        <v>4.2350000000000003</v>
      </c>
      <c r="I597" s="3">
        <v>25.866</v>
      </c>
      <c r="K597" s="3">
        <v>3.746</v>
      </c>
      <c r="L597" s="3">
        <v>5.157</v>
      </c>
      <c r="M597" s="3">
        <v>5.0010000000000003</v>
      </c>
    </row>
    <row r="598" spans="1:13">
      <c r="A598" t="s">
        <v>15</v>
      </c>
      <c r="C598" s="3">
        <v>0</v>
      </c>
      <c r="D598" s="3">
        <v>0</v>
      </c>
      <c r="E598" s="3">
        <v>0</v>
      </c>
      <c r="G598" s="3">
        <v>0</v>
      </c>
      <c r="H598" s="3">
        <v>0</v>
      </c>
      <c r="I598" s="3">
        <v>0</v>
      </c>
      <c r="K598" s="3">
        <v>0</v>
      </c>
      <c r="L598" s="3">
        <v>0</v>
      </c>
      <c r="M598" s="3">
        <v>0</v>
      </c>
    </row>
    <row r="599" spans="1:13">
      <c r="A599" t="s">
        <v>16</v>
      </c>
      <c r="C599" s="3">
        <f>C598/C597</f>
        <v>0</v>
      </c>
      <c r="D599" s="3">
        <f>D598/D597</f>
        <v>0</v>
      </c>
      <c r="E599" s="3">
        <f>E598/E597</f>
        <v>0</v>
      </c>
      <c r="G599" s="3">
        <f>G598/G597</f>
        <v>0</v>
      </c>
      <c r="H599" s="3">
        <f>H598/H597</f>
        <v>0</v>
      </c>
      <c r="I599" s="3">
        <f>I598/I597</f>
        <v>0</v>
      </c>
      <c r="K599" s="3">
        <f>K598/K597</f>
        <v>0</v>
      </c>
      <c r="L599" s="3">
        <f>L598/L597</f>
        <v>0</v>
      </c>
      <c r="M599" s="3">
        <f>M598/M597</f>
        <v>0</v>
      </c>
    </row>
    <row r="600" spans="1:13">
      <c r="A600" t="s">
        <v>17</v>
      </c>
      <c r="C600" s="3">
        <v>0</v>
      </c>
      <c r="D600" s="3">
        <v>0</v>
      </c>
      <c r="E600" s="3">
        <v>0</v>
      </c>
      <c r="G600" s="3">
        <v>0</v>
      </c>
      <c r="H600" s="3">
        <v>0</v>
      </c>
      <c r="I600" s="3">
        <v>0</v>
      </c>
      <c r="K600" s="3">
        <v>0</v>
      </c>
      <c r="L600" s="3">
        <v>0</v>
      </c>
      <c r="M600" s="3">
        <v>0</v>
      </c>
    </row>
    <row r="601" spans="1:13">
      <c r="A601" t="s">
        <v>18</v>
      </c>
      <c r="C601" s="3">
        <v>0</v>
      </c>
      <c r="D601" s="3">
        <v>0</v>
      </c>
      <c r="E601" s="3">
        <v>0</v>
      </c>
      <c r="G601" s="3">
        <v>0</v>
      </c>
      <c r="H601" s="3">
        <v>0</v>
      </c>
      <c r="I601" s="3">
        <v>0</v>
      </c>
      <c r="K601" s="3">
        <v>0</v>
      </c>
      <c r="L601" s="3">
        <v>0</v>
      </c>
      <c r="M601" s="3">
        <v>0</v>
      </c>
    </row>
    <row r="602" spans="1:13">
      <c r="A602" t="s">
        <v>19</v>
      </c>
      <c r="C602" s="3">
        <f>C598*C601*C600-C600</f>
        <v>0</v>
      </c>
      <c r="D602" s="3">
        <f>D598*D601*D600-D600</f>
        <v>0</v>
      </c>
      <c r="E602" s="3">
        <f>E598*E601*E600-E600</f>
        <v>0</v>
      </c>
      <c r="G602" s="3">
        <f>G598*G601*G600-G600</f>
        <v>0</v>
      </c>
      <c r="H602" s="3">
        <f>H598*H601*H600-H600</f>
        <v>0</v>
      </c>
      <c r="I602" s="3">
        <f>I598*I601*I600-I600</f>
        <v>0</v>
      </c>
      <c r="K602" s="3">
        <f>K598*K601*K600-K600</f>
        <v>0</v>
      </c>
      <c r="L602" s="3">
        <f>L598*L601*L600-L600</f>
        <v>0</v>
      </c>
      <c r="M602" s="3">
        <f>M598*M601*M600-M600</f>
        <v>0</v>
      </c>
    </row>
    <row r="604" spans="1:13">
      <c r="A604" s="1" t="s">
        <v>49</v>
      </c>
      <c r="C604" s="1" t="s">
        <v>1</v>
      </c>
      <c r="E604" s="1">
        <f>0+C611+D611+E611 + E595</f>
        <v>0</v>
      </c>
      <c r="G604" s="1" t="s">
        <v>2</v>
      </c>
      <c r="I604" s="1">
        <f>0+G611+H611+I611 + I595</f>
        <v>0</v>
      </c>
      <c r="K604" s="1" t="s">
        <v>3</v>
      </c>
      <c r="M604" s="1">
        <f>0+K611+L611+M611 + M595</f>
        <v>0</v>
      </c>
    </row>
    <row r="605" spans="1:13">
      <c r="A605" t="s">
        <v>90</v>
      </c>
      <c r="C605" s="2" t="s">
        <v>5</v>
      </c>
      <c r="D605" s="2" t="s">
        <v>6</v>
      </c>
      <c r="E605" s="2" t="s">
        <v>7</v>
      </c>
      <c r="G605" s="2" t="s">
        <v>8</v>
      </c>
      <c r="H605" s="2" t="s">
        <v>9</v>
      </c>
      <c r="I605" s="2" t="s">
        <v>10</v>
      </c>
      <c r="K605" s="2" t="s">
        <v>11</v>
      </c>
      <c r="L605" s="2" t="s">
        <v>12</v>
      </c>
      <c r="M605" s="2" t="s">
        <v>13</v>
      </c>
    </row>
    <row r="606" spans="1:13">
      <c r="A606" t="s">
        <v>14</v>
      </c>
      <c r="C606" s="3">
        <v>2.9409999999999998</v>
      </c>
      <c r="D606" s="3">
        <v>4.7530000000000001</v>
      </c>
      <c r="E606" s="3">
        <v>3.879</v>
      </c>
      <c r="G606" s="3">
        <v>3.8170000000000002</v>
      </c>
      <c r="H606" s="3">
        <v>14.141999999999999</v>
      </c>
      <c r="I606" s="3">
        <v>3.851</v>
      </c>
      <c r="K606" s="3">
        <v>1.2869999999999999</v>
      </c>
      <c r="L606" s="3">
        <v>41.262999999999998</v>
      </c>
      <c r="M606" s="3">
        <v>2.012</v>
      </c>
    </row>
    <row r="607" spans="1:13">
      <c r="A607" t="s">
        <v>15</v>
      </c>
      <c r="C607" s="3">
        <v>0</v>
      </c>
      <c r="D607" s="3">
        <v>0</v>
      </c>
      <c r="E607" s="3">
        <v>0</v>
      </c>
      <c r="G607" s="3">
        <v>0</v>
      </c>
      <c r="H607" s="3">
        <v>0</v>
      </c>
      <c r="I607" s="3">
        <v>0</v>
      </c>
      <c r="K607" s="3">
        <v>0</v>
      </c>
      <c r="L607" s="3">
        <v>0</v>
      </c>
      <c r="M607" s="3">
        <v>0</v>
      </c>
    </row>
    <row r="608" spans="1:13">
      <c r="A608" t="s">
        <v>16</v>
      </c>
      <c r="C608" s="3">
        <f>C607/C606</f>
        <v>0</v>
      </c>
      <c r="D608" s="3">
        <f>D607/D606</f>
        <v>0</v>
      </c>
      <c r="E608" s="3">
        <f>E607/E606</f>
        <v>0</v>
      </c>
      <c r="G608" s="3">
        <f>G607/G606</f>
        <v>0</v>
      </c>
      <c r="H608" s="3">
        <f>H607/H606</f>
        <v>0</v>
      </c>
      <c r="I608" s="3">
        <f>I607/I606</f>
        <v>0</v>
      </c>
      <c r="K608" s="3">
        <f>K607/K606</f>
        <v>0</v>
      </c>
      <c r="L608" s="3">
        <f>L607/L606</f>
        <v>0</v>
      </c>
      <c r="M608" s="3">
        <f>M607/M606</f>
        <v>0</v>
      </c>
    </row>
    <row r="609" spans="1:13">
      <c r="A609" t="s">
        <v>17</v>
      </c>
      <c r="C609" s="3">
        <v>0</v>
      </c>
      <c r="D609" s="3">
        <v>0</v>
      </c>
      <c r="E609" s="3">
        <v>0</v>
      </c>
      <c r="G609" s="3">
        <v>0</v>
      </c>
      <c r="H609" s="3">
        <v>0</v>
      </c>
      <c r="I609" s="3">
        <v>0</v>
      </c>
      <c r="K609" s="3">
        <v>0</v>
      </c>
      <c r="L609" s="3">
        <v>0</v>
      </c>
      <c r="M609" s="3">
        <v>0</v>
      </c>
    </row>
    <row r="610" spans="1:13">
      <c r="A610" t="s">
        <v>18</v>
      </c>
      <c r="C610" s="3">
        <v>0</v>
      </c>
      <c r="D610" s="3">
        <v>0</v>
      </c>
      <c r="E610" s="3">
        <v>0</v>
      </c>
      <c r="G610" s="3">
        <v>0</v>
      </c>
      <c r="H610" s="3">
        <v>0</v>
      </c>
      <c r="I610" s="3">
        <v>0</v>
      </c>
      <c r="K610" s="3">
        <v>0</v>
      </c>
      <c r="L610" s="3">
        <v>0</v>
      </c>
      <c r="M610" s="3">
        <v>0</v>
      </c>
    </row>
    <row r="611" spans="1:13">
      <c r="A611" t="s">
        <v>19</v>
      </c>
      <c r="C611" s="3">
        <f>C607*C610*C609-C609</f>
        <v>0</v>
      </c>
      <c r="D611" s="3">
        <f>D607*D610*D609-D609</f>
        <v>0</v>
      </c>
      <c r="E611" s="3">
        <f>E607*E610*E609-E609</f>
        <v>0</v>
      </c>
      <c r="G611" s="3">
        <f>G607*G610*G609-G609</f>
        <v>0</v>
      </c>
      <c r="H611" s="3">
        <f>H607*H610*H609-H609</f>
        <v>0</v>
      </c>
      <c r="I611" s="3">
        <f>I607*I610*I609-I609</f>
        <v>0</v>
      </c>
      <c r="K611" s="3">
        <f>K607*K610*K609-K609</f>
        <v>0</v>
      </c>
      <c r="L611" s="3">
        <f>L607*L610*L609-L609</f>
        <v>0</v>
      </c>
      <c r="M611" s="3">
        <f>M607*M610*M609-M609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12"/>
  <sheetViews>
    <sheetView tabSelected="1" topLeftCell="A478" workbookViewId="0">
      <selection activeCell="F489" sqref="F489"/>
    </sheetView>
  </sheetViews>
  <sheetFormatPr defaultRowHeight="14.4"/>
  <cols>
    <col min="1" max="1" width="21.33203125" customWidth="1"/>
  </cols>
  <sheetData>
    <row r="1" spans="1:13">
      <c r="A1" s="1" t="s">
        <v>0</v>
      </c>
      <c r="C1" s="1" t="s">
        <v>1</v>
      </c>
      <c r="E1" s="1">
        <f>0+C8+D8+E8</f>
        <v>0</v>
      </c>
      <c r="G1" s="1" t="s">
        <v>2</v>
      </c>
      <c r="I1" s="1">
        <f>0+G8+H8+I8</f>
        <v>0</v>
      </c>
      <c r="K1" s="1" t="s">
        <v>3</v>
      </c>
      <c r="M1" s="1">
        <f>0+K8+L8+M8</f>
        <v>0</v>
      </c>
    </row>
    <row r="2" spans="1:13">
      <c r="A2" t="s">
        <v>4</v>
      </c>
      <c r="C2" s="2" t="s">
        <v>5</v>
      </c>
      <c r="D2" s="2" t="s">
        <v>6</v>
      </c>
      <c r="E2" s="2" t="s">
        <v>7</v>
      </c>
      <c r="G2" s="2" t="s">
        <v>8</v>
      </c>
      <c r="H2" s="2" t="s">
        <v>9</v>
      </c>
      <c r="I2" s="2" t="s">
        <v>10</v>
      </c>
      <c r="K2" s="2" t="s">
        <v>11</v>
      </c>
      <c r="L2" s="2" t="s">
        <v>12</v>
      </c>
      <c r="M2" s="2" t="s">
        <v>13</v>
      </c>
    </row>
    <row r="3" spans="1:13">
      <c r="A3" t="s">
        <v>14</v>
      </c>
      <c r="C3" s="3">
        <v>1.829</v>
      </c>
      <c r="D3" s="3">
        <v>5.24</v>
      </c>
      <c r="E3" s="3">
        <v>3.8079999999999998</v>
      </c>
      <c r="G3" s="3">
        <v>49.826999999999998</v>
      </c>
      <c r="H3" s="3">
        <v>1.0720000000000001</v>
      </c>
      <c r="I3" s="3">
        <v>21.065999999999999</v>
      </c>
      <c r="K3" s="3">
        <v>8.9510000000000005</v>
      </c>
      <c r="L3" s="3">
        <v>3.605</v>
      </c>
      <c r="M3" s="3">
        <v>1.6359999999999999</v>
      </c>
    </row>
    <row r="4" spans="1:13">
      <c r="A4" t="s">
        <v>15</v>
      </c>
      <c r="C4" s="3">
        <v>0</v>
      </c>
      <c r="D4" s="3">
        <v>0</v>
      </c>
      <c r="E4" s="3">
        <v>0</v>
      </c>
      <c r="G4" s="3">
        <v>0</v>
      </c>
      <c r="H4" s="3">
        <v>0</v>
      </c>
      <c r="I4" s="3">
        <v>0</v>
      </c>
      <c r="K4" s="3">
        <v>0</v>
      </c>
      <c r="L4" s="3">
        <v>0</v>
      </c>
      <c r="M4" s="3">
        <v>0</v>
      </c>
    </row>
    <row r="5" spans="1:13">
      <c r="A5" t="s">
        <v>16</v>
      </c>
      <c r="C5" s="3">
        <f>C4/C3</f>
        <v>0</v>
      </c>
      <c r="D5" s="3">
        <f>D4/D3</f>
        <v>0</v>
      </c>
      <c r="E5" s="3">
        <f>E4/E3</f>
        <v>0</v>
      </c>
      <c r="G5" s="3">
        <f>G4/G3</f>
        <v>0</v>
      </c>
      <c r="H5" s="3">
        <f>H4/H3</f>
        <v>0</v>
      </c>
      <c r="I5" s="3">
        <f>I4/I3</f>
        <v>0</v>
      </c>
      <c r="K5" s="3">
        <f>K4/K3</f>
        <v>0</v>
      </c>
      <c r="L5" s="3">
        <f>L4/L3</f>
        <v>0</v>
      </c>
      <c r="M5" s="3">
        <f>M4/M3</f>
        <v>0</v>
      </c>
    </row>
    <row r="6" spans="1:13">
      <c r="A6" t="s">
        <v>17</v>
      </c>
      <c r="C6" s="3">
        <v>0</v>
      </c>
      <c r="D6" s="3">
        <v>0</v>
      </c>
      <c r="E6" s="3">
        <v>0</v>
      </c>
      <c r="G6" s="3">
        <v>0</v>
      </c>
      <c r="H6" s="3">
        <v>0</v>
      </c>
      <c r="I6" s="3">
        <v>0</v>
      </c>
      <c r="K6" s="3">
        <v>0</v>
      </c>
      <c r="L6" s="3">
        <v>0</v>
      </c>
      <c r="M6" s="3">
        <v>0</v>
      </c>
    </row>
    <row r="7" spans="1:13">
      <c r="A7" t="s">
        <v>18</v>
      </c>
      <c r="C7" s="3">
        <v>0</v>
      </c>
      <c r="D7" s="3">
        <v>0</v>
      </c>
      <c r="E7" s="3">
        <v>0</v>
      </c>
      <c r="G7" s="3">
        <v>0</v>
      </c>
      <c r="H7" s="3">
        <v>0</v>
      </c>
      <c r="I7" s="3">
        <v>0</v>
      </c>
      <c r="K7" s="3">
        <v>0</v>
      </c>
      <c r="L7" s="3">
        <v>0</v>
      </c>
      <c r="M7" s="3">
        <v>0</v>
      </c>
    </row>
    <row r="8" spans="1:13">
      <c r="A8" t="s">
        <v>19</v>
      </c>
      <c r="C8" s="3">
        <f>C4*C7*C6-C6</f>
        <v>0</v>
      </c>
      <c r="D8" s="3">
        <f>D4*D7*D6-D6</f>
        <v>0</v>
      </c>
      <c r="E8" s="3">
        <f>E4*E7*E6-E6</f>
        <v>0</v>
      </c>
      <c r="G8" s="3">
        <f>G4*G7*G6-G6</f>
        <v>0</v>
      </c>
      <c r="H8" s="3">
        <f>H4*H7*H6-H6</f>
        <v>0</v>
      </c>
      <c r="I8" s="3">
        <f>I4*I7*I6-I6</f>
        <v>0</v>
      </c>
      <c r="K8" s="3">
        <f>K4*K7*K6-K6</f>
        <v>0</v>
      </c>
      <c r="L8" s="3">
        <f>L4*L7*L6-L6</f>
        <v>0</v>
      </c>
      <c r="M8" s="3">
        <f>M4*M7*M6-M6</f>
        <v>0</v>
      </c>
    </row>
    <row r="10" spans="1:13">
      <c r="A10" s="1" t="s">
        <v>0</v>
      </c>
      <c r="C10" s="1" t="s">
        <v>1</v>
      </c>
      <c r="E10" s="1">
        <f>0+C17+D17+E17 + E1</f>
        <v>0</v>
      </c>
      <c r="G10" s="1" t="s">
        <v>2</v>
      </c>
      <c r="I10" s="1">
        <f>0+G17+H17+I17 + I1</f>
        <v>0</v>
      </c>
      <c r="K10" s="1" t="s">
        <v>3</v>
      </c>
      <c r="M10" s="1">
        <f>0+K17+L17+M17 + M1</f>
        <v>0</v>
      </c>
    </row>
    <row r="11" spans="1:13">
      <c r="A11" t="s">
        <v>20</v>
      </c>
      <c r="C11" s="2" t="s">
        <v>5</v>
      </c>
      <c r="D11" s="2" t="s">
        <v>6</v>
      </c>
      <c r="E11" s="2" t="s">
        <v>7</v>
      </c>
      <c r="G11" s="2" t="s">
        <v>8</v>
      </c>
      <c r="H11" s="2" t="s">
        <v>9</v>
      </c>
      <c r="I11" s="2" t="s">
        <v>10</v>
      </c>
      <c r="K11" s="2" t="s">
        <v>11</v>
      </c>
      <c r="L11" s="2" t="s">
        <v>12</v>
      </c>
      <c r="M11" s="2" t="s">
        <v>13</v>
      </c>
    </row>
    <row r="12" spans="1:13">
      <c r="A12" t="s">
        <v>14</v>
      </c>
      <c r="C12" s="3">
        <v>5.8449999999999998</v>
      </c>
      <c r="D12" s="3">
        <v>1.752</v>
      </c>
      <c r="E12" s="3">
        <v>3.8730000000000002</v>
      </c>
      <c r="G12" s="3">
        <v>15.505000000000001</v>
      </c>
      <c r="H12" s="3">
        <v>1.8680000000000001</v>
      </c>
      <c r="I12" s="3">
        <v>2.4969999999999999</v>
      </c>
      <c r="K12" s="3">
        <v>3.4140000000000001</v>
      </c>
      <c r="L12" s="3">
        <v>2.536</v>
      </c>
      <c r="M12" s="3">
        <v>3.1960000000000002</v>
      </c>
    </row>
    <row r="13" spans="1:13">
      <c r="A13" t="s">
        <v>15</v>
      </c>
      <c r="C13" s="3">
        <v>0</v>
      </c>
      <c r="D13" s="3">
        <v>0</v>
      </c>
      <c r="E13" s="3">
        <v>0</v>
      </c>
      <c r="G13" s="3">
        <v>0</v>
      </c>
      <c r="H13" s="3">
        <v>0</v>
      </c>
      <c r="I13" s="3">
        <v>0</v>
      </c>
      <c r="K13" s="3">
        <v>0</v>
      </c>
      <c r="L13" s="3">
        <v>0</v>
      </c>
      <c r="M13" s="3">
        <v>0</v>
      </c>
    </row>
    <row r="14" spans="1:13">
      <c r="A14" t="s">
        <v>16</v>
      </c>
      <c r="C14" s="3">
        <f>C13/C12</f>
        <v>0</v>
      </c>
      <c r="D14" s="3">
        <f>D13/D12</f>
        <v>0</v>
      </c>
      <c r="E14" s="3">
        <f>E13/E12</f>
        <v>0</v>
      </c>
      <c r="G14" s="3">
        <f>G13/G12</f>
        <v>0</v>
      </c>
      <c r="H14" s="3">
        <f>H13/H12</f>
        <v>0</v>
      </c>
      <c r="I14" s="3">
        <f>I13/I12</f>
        <v>0</v>
      </c>
      <c r="K14" s="3">
        <f>K13/K12</f>
        <v>0</v>
      </c>
      <c r="L14" s="3">
        <f>L13/L12</f>
        <v>0</v>
      </c>
      <c r="M14" s="3">
        <f>M13/M12</f>
        <v>0</v>
      </c>
    </row>
    <row r="15" spans="1:13">
      <c r="A15" t="s">
        <v>17</v>
      </c>
      <c r="C15" s="3">
        <v>0</v>
      </c>
      <c r="D15" s="3">
        <v>0</v>
      </c>
      <c r="E15" s="3">
        <v>0</v>
      </c>
      <c r="G15" s="3">
        <v>0</v>
      </c>
      <c r="H15" s="3">
        <v>0</v>
      </c>
      <c r="I15" s="3">
        <v>0</v>
      </c>
      <c r="K15" s="3">
        <v>0</v>
      </c>
      <c r="L15" s="3">
        <v>0</v>
      </c>
      <c r="M15" s="3">
        <v>0</v>
      </c>
    </row>
    <row r="16" spans="1:13">
      <c r="A16" t="s">
        <v>18</v>
      </c>
      <c r="C16" s="3">
        <v>0</v>
      </c>
      <c r="D16" s="3">
        <v>0</v>
      </c>
      <c r="E16" s="3">
        <v>0</v>
      </c>
      <c r="G16" s="3">
        <v>0</v>
      </c>
      <c r="H16" s="3">
        <v>0</v>
      </c>
      <c r="I16" s="3">
        <v>0</v>
      </c>
      <c r="K16" s="3">
        <v>0</v>
      </c>
      <c r="L16" s="3">
        <v>0</v>
      </c>
      <c r="M16" s="3">
        <v>0</v>
      </c>
    </row>
    <row r="17" spans="1:13">
      <c r="A17" t="s">
        <v>19</v>
      </c>
      <c r="C17" s="3">
        <f>C13*C16*C15-C15</f>
        <v>0</v>
      </c>
      <c r="D17" s="3">
        <f>D13*D16*D15-D15</f>
        <v>0</v>
      </c>
      <c r="E17" s="3">
        <f>E13*E16*E15-E15</f>
        <v>0</v>
      </c>
      <c r="G17" s="3">
        <f>G13*G16*G15-G15</f>
        <v>0</v>
      </c>
      <c r="H17" s="3">
        <f>H13*H16*H15-H15</f>
        <v>0</v>
      </c>
      <c r="I17" s="3">
        <f>I13*I16*I15-I15</f>
        <v>0</v>
      </c>
      <c r="K17" s="3">
        <f>K13*K16*K15-K15</f>
        <v>0</v>
      </c>
      <c r="L17" s="3">
        <f>L13*L16*L15-L15</f>
        <v>0</v>
      </c>
      <c r="M17" s="3">
        <f>M13*M16*M15-M15</f>
        <v>0</v>
      </c>
    </row>
    <row r="19" spans="1:13">
      <c r="A19" s="1" t="s">
        <v>0</v>
      </c>
      <c r="C19" s="1" t="s">
        <v>1</v>
      </c>
      <c r="E19" s="1">
        <f>0+C26+D26+E26 + E10</f>
        <v>0</v>
      </c>
      <c r="G19" s="1" t="s">
        <v>2</v>
      </c>
      <c r="I19" s="1">
        <f>0+G26+H26+I26 + I10</f>
        <v>0</v>
      </c>
      <c r="K19" s="1" t="s">
        <v>3</v>
      </c>
      <c r="M19" s="1">
        <f>0+K26+L26+M26 + M10</f>
        <v>0</v>
      </c>
    </row>
    <row r="20" spans="1:13">
      <c r="A20" t="s">
        <v>21</v>
      </c>
      <c r="C20" s="2" t="s">
        <v>5</v>
      </c>
      <c r="D20" s="2" t="s">
        <v>6</v>
      </c>
      <c r="E20" s="2" t="s">
        <v>7</v>
      </c>
      <c r="G20" s="2" t="s">
        <v>8</v>
      </c>
      <c r="H20" s="2" t="s">
        <v>9</v>
      </c>
      <c r="I20" s="2" t="s">
        <v>10</v>
      </c>
      <c r="K20" s="2" t="s">
        <v>11</v>
      </c>
      <c r="L20" s="2" t="s">
        <v>12</v>
      </c>
      <c r="M20" s="2" t="s">
        <v>13</v>
      </c>
    </row>
    <row r="21" spans="1:13">
      <c r="A21" t="s">
        <v>14</v>
      </c>
      <c r="C21" s="3">
        <v>18.981999999999999</v>
      </c>
      <c r="D21" s="3">
        <v>1.802</v>
      </c>
      <c r="E21" s="3">
        <v>2.5459999999999998</v>
      </c>
      <c r="G21" s="3">
        <v>13.442</v>
      </c>
      <c r="H21" s="3">
        <v>1.236</v>
      </c>
      <c r="I21" s="3">
        <v>8.5329999999999995</v>
      </c>
      <c r="K21" s="3">
        <v>14.808999999999999</v>
      </c>
      <c r="L21" s="3">
        <v>3.444</v>
      </c>
      <c r="M21" s="3">
        <v>1.5569999999999999</v>
      </c>
    </row>
    <row r="22" spans="1:13">
      <c r="A22" t="s">
        <v>15</v>
      </c>
      <c r="C22" s="3">
        <v>0</v>
      </c>
      <c r="D22" s="3">
        <v>0</v>
      </c>
      <c r="E22" s="3">
        <v>0</v>
      </c>
      <c r="G22" s="3">
        <v>0</v>
      </c>
      <c r="H22" s="3">
        <v>0</v>
      </c>
      <c r="I22" s="3">
        <v>0</v>
      </c>
      <c r="K22" s="3">
        <v>0</v>
      </c>
      <c r="L22" s="3">
        <v>0</v>
      </c>
      <c r="M22" s="3">
        <v>0</v>
      </c>
    </row>
    <row r="23" spans="1:13">
      <c r="A23" t="s">
        <v>16</v>
      </c>
      <c r="C23" s="3">
        <f>C22/C21</f>
        <v>0</v>
      </c>
      <c r="D23" s="3">
        <f>D22/D21</f>
        <v>0</v>
      </c>
      <c r="E23" s="3">
        <f>E22/E21</f>
        <v>0</v>
      </c>
      <c r="G23" s="3">
        <f>G22/G21</f>
        <v>0</v>
      </c>
      <c r="H23" s="3">
        <f>H22/H21</f>
        <v>0</v>
      </c>
      <c r="I23" s="3">
        <f>I22/I21</f>
        <v>0</v>
      </c>
      <c r="K23" s="3">
        <f>K22/K21</f>
        <v>0</v>
      </c>
      <c r="L23" s="3">
        <f>L22/L21</f>
        <v>0</v>
      </c>
      <c r="M23" s="3">
        <f>M22/M21</f>
        <v>0</v>
      </c>
    </row>
    <row r="24" spans="1:13">
      <c r="A24" t="s">
        <v>17</v>
      </c>
      <c r="C24" s="3">
        <v>0</v>
      </c>
      <c r="D24" s="3">
        <v>0</v>
      </c>
      <c r="E24" s="3">
        <v>0</v>
      </c>
      <c r="G24" s="3">
        <v>0</v>
      </c>
      <c r="H24" s="3">
        <v>0</v>
      </c>
      <c r="I24" s="3">
        <v>0</v>
      </c>
      <c r="K24" s="3">
        <v>0</v>
      </c>
      <c r="L24" s="3">
        <v>0</v>
      </c>
      <c r="M24" s="3">
        <v>0</v>
      </c>
    </row>
    <row r="25" spans="1:13">
      <c r="A25" t="s">
        <v>18</v>
      </c>
      <c r="C25" s="3">
        <v>0</v>
      </c>
      <c r="D25" s="3">
        <v>0</v>
      </c>
      <c r="E25" s="3">
        <v>0</v>
      </c>
      <c r="G25" s="3">
        <v>0</v>
      </c>
      <c r="H25" s="3">
        <v>0</v>
      </c>
      <c r="I25" s="3">
        <v>0</v>
      </c>
      <c r="K25" s="3">
        <v>0</v>
      </c>
      <c r="L25" s="3">
        <v>0</v>
      </c>
      <c r="M25" s="3">
        <v>0</v>
      </c>
    </row>
    <row r="26" spans="1:13">
      <c r="A26" t="s">
        <v>19</v>
      </c>
      <c r="C26" s="3">
        <f>C22*C25*C24-C24</f>
        <v>0</v>
      </c>
      <c r="D26" s="3">
        <f>D22*D25*D24-D24</f>
        <v>0</v>
      </c>
      <c r="E26" s="3">
        <f>E22*E25*E24-E24</f>
        <v>0</v>
      </c>
      <c r="G26" s="3">
        <f>G22*G25*G24-G24</f>
        <v>0</v>
      </c>
      <c r="H26" s="3">
        <f>H22*H25*H24-H24</f>
        <v>0</v>
      </c>
      <c r="I26" s="3">
        <f>I22*I25*I24-I24</f>
        <v>0</v>
      </c>
      <c r="K26" s="3">
        <f>K22*K25*K24-K24</f>
        <v>0</v>
      </c>
      <c r="L26" s="3">
        <f>L22*L25*L24-L24</f>
        <v>0</v>
      </c>
      <c r="M26" s="3">
        <f>M22*M25*M24-M24</f>
        <v>0</v>
      </c>
    </row>
    <row r="28" spans="1:13">
      <c r="A28" s="1" t="s">
        <v>0</v>
      </c>
      <c r="C28" s="1" t="s">
        <v>1</v>
      </c>
      <c r="E28" s="1">
        <f>0+C35+D35+E35 + E19</f>
        <v>0</v>
      </c>
      <c r="G28" s="1" t="s">
        <v>2</v>
      </c>
      <c r="I28" s="1">
        <f>0+G35+H35+I35 + I19</f>
        <v>0</v>
      </c>
      <c r="K28" s="1" t="s">
        <v>3</v>
      </c>
      <c r="M28" s="1">
        <f>0+K35+L35+M35 + M19</f>
        <v>0</v>
      </c>
    </row>
    <row r="29" spans="1:13">
      <c r="A29" t="s">
        <v>22</v>
      </c>
      <c r="C29" s="2" t="s">
        <v>5</v>
      </c>
      <c r="D29" s="2" t="s">
        <v>6</v>
      </c>
      <c r="E29" s="2" t="s">
        <v>7</v>
      </c>
      <c r="G29" s="2" t="s">
        <v>8</v>
      </c>
      <c r="H29" s="2" t="s">
        <v>9</v>
      </c>
      <c r="I29" s="2" t="s">
        <v>10</v>
      </c>
      <c r="K29" s="2" t="s">
        <v>11</v>
      </c>
      <c r="L29" s="2" t="s">
        <v>12</v>
      </c>
      <c r="M29" s="2" t="s">
        <v>13</v>
      </c>
    </row>
    <row r="30" spans="1:13">
      <c r="A30" t="s">
        <v>14</v>
      </c>
      <c r="C30" s="3">
        <v>1.337</v>
      </c>
      <c r="D30" s="3">
        <v>6.8479999999999999</v>
      </c>
      <c r="E30" s="3">
        <v>9.3859999999999992</v>
      </c>
      <c r="G30" s="3">
        <v>18.693999999999999</v>
      </c>
      <c r="H30" s="3">
        <v>1.6140000000000001</v>
      </c>
      <c r="I30" s="3">
        <v>3.0579999999999998</v>
      </c>
      <c r="K30" s="3">
        <v>1.851</v>
      </c>
      <c r="L30" s="3">
        <v>2.778</v>
      </c>
      <c r="M30" s="3">
        <v>9.9930000000000003</v>
      </c>
    </row>
    <row r="31" spans="1:13">
      <c r="A31" t="s">
        <v>15</v>
      </c>
      <c r="C31" s="3">
        <v>0</v>
      </c>
      <c r="D31" s="3">
        <v>0</v>
      </c>
      <c r="E31" s="3">
        <v>0</v>
      </c>
      <c r="G31" s="3">
        <v>0</v>
      </c>
      <c r="H31" s="3">
        <v>0</v>
      </c>
      <c r="I31" s="3">
        <v>0</v>
      </c>
      <c r="K31" s="3">
        <v>0</v>
      </c>
      <c r="L31" s="3">
        <v>0</v>
      </c>
      <c r="M31" s="3">
        <v>0</v>
      </c>
    </row>
    <row r="32" spans="1:13">
      <c r="A32" t="s">
        <v>16</v>
      </c>
      <c r="C32" s="3">
        <f>C31/C30</f>
        <v>0</v>
      </c>
      <c r="D32" s="3">
        <f>D31/D30</f>
        <v>0</v>
      </c>
      <c r="E32" s="3">
        <f>E31/E30</f>
        <v>0</v>
      </c>
      <c r="G32" s="3">
        <f>G31/G30</f>
        <v>0</v>
      </c>
      <c r="H32" s="3">
        <f>H31/H30</f>
        <v>0</v>
      </c>
      <c r="I32" s="3">
        <f>I31/I30</f>
        <v>0</v>
      </c>
      <c r="K32" s="3">
        <f>K31/K30</f>
        <v>0</v>
      </c>
      <c r="L32" s="3">
        <f>L31/L30</f>
        <v>0</v>
      </c>
      <c r="M32" s="3">
        <f>M31/M30</f>
        <v>0</v>
      </c>
    </row>
    <row r="33" spans="1:13">
      <c r="A33" t="s">
        <v>17</v>
      </c>
      <c r="C33" s="3">
        <v>0</v>
      </c>
      <c r="D33" s="3">
        <v>0</v>
      </c>
      <c r="E33" s="3">
        <v>0</v>
      </c>
      <c r="G33" s="3">
        <v>0</v>
      </c>
      <c r="H33" s="3">
        <v>0</v>
      </c>
      <c r="I33" s="3">
        <v>0</v>
      </c>
      <c r="K33" s="3">
        <v>0</v>
      </c>
      <c r="L33" s="3">
        <v>0</v>
      </c>
      <c r="M33" s="3">
        <v>0</v>
      </c>
    </row>
    <row r="34" spans="1:13">
      <c r="A34" t="s">
        <v>18</v>
      </c>
      <c r="C34" s="3">
        <v>0</v>
      </c>
      <c r="D34" s="3">
        <v>0</v>
      </c>
      <c r="E34" s="3">
        <v>0</v>
      </c>
      <c r="G34" s="3">
        <v>0</v>
      </c>
      <c r="H34" s="3">
        <v>0</v>
      </c>
      <c r="I34" s="3">
        <v>0</v>
      </c>
      <c r="K34" s="3">
        <v>0</v>
      </c>
      <c r="L34" s="3">
        <v>0</v>
      </c>
      <c r="M34" s="3">
        <v>0</v>
      </c>
    </row>
    <row r="35" spans="1:13">
      <c r="A35" t="s">
        <v>19</v>
      </c>
      <c r="C35" s="3">
        <f>C31*C34*C33-C33</f>
        <v>0</v>
      </c>
      <c r="D35" s="3">
        <f>D31*D34*D33-D33</f>
        <v>0</v>
      </c>
      <c r="E35" s="3">
        <f>E31*E34*E33-E33</f>
        <v>0</v>
      </c>
      <c r="G35" s="3">
        <f>G31*G34*G33-G33</f>
        <v>0</v>
      </c>
      <c r="H35" s="3">
        <f>H31*H34*H33-H33</f>
        <v>0</v>
      </c>
      <c r="I35" s="3">
        <f>I31*I34*I33-I33</f>
        <v>0</v>
      </c>
      <c r="K35" s="3">
        <f>K31*K34*K33-K33</f>
        <v>0</v>
      </c>
      <c r="L35" s="3">
        <f>L31*L34*L33-L33</f>
        <v>0</v>
      </c>
      <c r="M35" s="3">
        <f>M31*M34*M33-M33</f>
        <v>0</v>
      </c>
    </row>
    <row r="37" spans="1:13">
      <c r="A37" s="1" t="s">
        <v>0</v>
      </c>
      <c r="C37" s="1" t="s">
        <v>1</v>
      </c>
      <c r="E37" s="1">
        <f>0+C44+D44+E44 + E28</f>
        <v>0</v>
      </c>
      <c r="G37" s="1" t="s">
        <v>2</v>
      </c>
      <c r="I37" s="1">
        <f>0+G44+H44+I44 + I28</f>
        <v>0</v>
      </c>
      <c r="K37" s="1" t="s">
        <v>3</v>
      </c>
      <c r="M37" s="1">
        <f>0+K44+L44+M44 + M28</f>
        <v>0</v>
      </c>
    </row>
    <row r="38" spans="1:13">
      <c r="A38" t="s">
        <v>23</v>
      </c>
      <c r="C38" s="2" t="s">
        <v>5</v>
      </c>
      <c r="D38" s="2" t="s">
        <v>6</v>
      </c>
      <c r="E38" s="2" t="s">
        <v>7</v>
      </c>
      <c r="G38" s="2" t="s">
        <v>8</v>
      </c>
      <c r="H38" s="2" t="s">
        <v>9</v>
      </c>
      <c r="I38" s="2" t="s">
        <v>10</v>
      </c>
      <c r="K38" s="2" t="s">
        <v>11</v>
      </c>
      <c r="L38" s="2" t="s">
        <v>12</v>
      </c>
      <c r="M38" s="2" t="s">
        <v>13</v>
      </c>
    </row>
    <row r="39" spans="1:13">
      <c r="A39" t="s">
        <v>14</v>
      </c>
      <c r="C39" s="3">
        <v>2.6120000000000001</v>
      </c>
      <c r="D39" s="3">
        <v>2.169</v>
      </c>
      <c r="E39" s="3">
        <v>6.4009999999999998</v>
      </c>
      <c r="G39" s="3">
        <v>5.6319999999999997</v>
      </c>
      <c r="H39" s="3">
        <v>7.9960000000000004</v>
      </c>
      <c r="I39" s="3">
        <v>1.4330000000000001</v>
      </c>
      <c r="K39" s="3">
        <v>2.3140000000000001</v>
      </c>
      <c r="L39" s="3">
        <v>2.9380000000000002</v>
      </c>
      <c r="M39" s="3">
        <v>4.3929999999999998</v>
      </c>
    </row>
    <row r="40" spans="1:13">
      <c r="A40" t="s">
        <v>15</v>
      </c>
      <c r="C40" s="3">
        <v>0</v>
      </c>
      <c r="D40" s="3">
        <v>0</v>
      </c>
      <c r="E40" s="3">
        <v>0</v>
      </c>
      <c r="G40" s="3">
        <v>0</v>
      </c>
      <c r="H40" s="3">
        <v>0</v>
      </c>
      <c r="I40" s="3">
        <v>0</v>
      </c>
      <c r="K40" s="3">
        <v>0</v>
      </c>
      <c r="L40" s="3">
        <v>0</v>
      </c>
      <c r="M40" s="3">
        <v>0</v>
      </c>
    </row>
    <row r="41" spans="1:13">
      <c r="A41" t="s">
        <v>16</v>
      </c>
      <c r="C41" s="3">
        <f>C40/C39</f>
        <v>0</v>
      </c>
      <c r="D41" s="3">
        <f>D40/D39</f>
        <v>0</v>
      </c>
      <c r="E41" s="3">
        <f>E40/E39</f>
        <v>0</v>
      </c>
      <c r="G41" s="3">
        <f>G40/G39</f>
        <v>0</v>
      </c>
      <c r="H41" s="3">
        <f>H40/H39</f>
        <v>0</v>
      </c>
      <c r="I41" s="3">
        <f>I40/I39</f>
        <v>0</v>
      </c>
      <c r="K41" s="3">
        <f>K40/K39</f>
        <v>0</v>
      </c>
      <c r="L41" s="3">
        <f>L40/L39</f>
        <v>0</v>
      </c>
      <c r="M41" s="3">
        <f>M40/M39</f>
        <v>0</v>
      </c>
    </row>
    <row r="42" spans="1:13">
      <c r="A42" t="s">
        <v>17</v>
      </c>
      <c r="C42" s="3">
        <v>0</v>
      </c>
      <c r="D42" s="3">
        <v>0</v>
      </c>
      <c r="E42" s="3">
        <v>0</v>
      </c>
      <c r="G42" s="3">
        <v>0</v>
      </c>
      <c r="H42" s="3">
        <v>0</v>
      </c>
      <c r="I42" s="3">
        <v>0</v>
      </c>
      <c r="K42" s="3">
        <v>0</v>
      </c>
      <c r="L42" s="3">
        <v>0</v>
      </c>
      <c r="M42" s="3">
        <v>0</v>
      </c>
    </row>
    <row r="43" spans="1:13">
      <c r="A43" t="s">
        <v>18</v>
      </c>
      <c r="C43" s="3">
        <v>0</v>
      </c>
      <c r="D43" s="3">
        <v>0</v>
      </c>
      <c r="E43" s="3">
        <v>0</v>
      </c>
      <c r="G43" s="3">
        <v>0</v>
      </c>
      <c r="H43" s="3">
        <v>0</v>
      </c>
      <c r="I43" s="3">
        <v>0</v>
      </c>
      <c r="K43" s="3">
        <v>0</v>
      </c>
      <c r="L43" s="3">
        <v>0</v>
      </c>
      <c r="M43" s="3">
        <v>0</v>
      </c>
    </row>
    <row r="44" spans="1:13">
      <c r="A44" t="s">
        <v>19</v>
      </c>
      <c r="C44" s="3">
        <f>C40*C43*C42-C42</f>
        <v>0</v>
      </c>
      <c r="D44" s="3">
        <f>D40*D43*D42-D42</f>
        <v>0</v>
      </c>
      <c r="E44" s="3">
        <f>E40*E43*E42-E42</f>
        <v>0</v>
      </c>
      <c r="G44" s="3">
        <f>G40*G43*G42-G42</f>
        <v>0</v>
      </c>
      <c r="H44" s="3">
        <f>H40*H43*H42-H42</f>
        <v>0</v>
      </c>
      <c r="I44" s="3">
        <f>I40*I43*I42-I42</f>
        <v>0</v>
      </c>
      <c r="K44" s="3">
        <f>K40*K43*K42-K42</f>
        <v>0</v>
      </c>
      <c r="L44" s="3">
        <f>L40*L43*L42-L42</f>
        <v>0</v>
      </c>
      <c r="M44" s="3">
        <f>M40*M43*M42-M42</f>
        <v>0</v>
      </c>
    </row>
    <row r="46" spans="1:13">
      <c r="A46" s="1" t="s">
        <v>0</v>
      </c>
      <c r="C46" s="1" t="s">
        <v>1</v>
      </c>
      <c r="E46" s="1">
        <f>0+C53+D53+E53 + E37</f>
        <v>0</v>
      </c>
      <c r="G46" s="1" t="s">
        <v>2</v>
      </c>
      <c r="I46" s="1">
        <f>0+G53+H53+I53 + I37</f>
        <v>0</v>
      </c>
      <c r="K46" s="1" t="s">
        <v>3</v>
      </c>
      <c r="M46" s="1">
        <f>0+K53+L53+M53 + M37</f>
        <v>0</v>
      </c>
    </row>
    <row r="47" spans="1:13">
      <c r="A47" t="s">
        <v>24</v>
      </c>
      <c r="C47" s="2" t="s">
        <v>5</v>
      </c>
      <c r="D47" s="2" t="s">
        <v>6</v>
      </c>
      <c r="E47" s="2" t="s">
        <v>7</v>
      </c>
      <c r="G47" s="2" t="s">
        <v>8</v>
      </c>
      <c r="H47" s="2" t="s">
        <v>9</v>
      </c>
      <c r="I47" s="2" t="s">
        <v>10</v>
      </c>
      <c r="K47" s="2" t="s">
        <v>11</v>
      </c>
      <c r="L47" s="2" t="s">
        <v>12</v>
      </c>
      <c r="M47" s="2" t="s">
        <v>13</v>
      </c>
    </row>
    <row r="48" spans="1:13">
      <c r="A48" t="s">
        <v>14</v>
      </c>
      <c r="C48" s="3">
        <v>1.21</v>
      </c>
      <c r="D48" s="3">
        <v>7.569</v>
      </c>
      <c r="E48" s="3">
        <v>24.100999999999999</v>
      </c>
      <c r="G48" s="3">
        <v>1.421</v>
      </c>
      <c r="H48" s="3">
        <v>4.125</v>
      </c>
      <c r="I48" s="3">
        <v>18.527999999999999</v>
      </c>
      <c r="K48" s="3">
        <v>1.216</v>
      </c>
      <c r="L48" s="3">
        <v>12.167</v>
      </c>
      <c r="M48" s="3">
        <v>10.419</v>
      </c>
    </row>
    <row r="49" spans="1:13">
      <c r="A49" t="s">
        <v>15</v>
      </c>
      <c r="C49" s="3">
        <v>0</v>
      </c>
      <c r="D49" s="3">
        <v>0</v>
      </c>
      <c r="E49" s="3">
        <v>0</v>
      </c>
      <c r="G49" s="3">
        <v>0</v>
      </c>
      <c r="H49" s="3">
        <v>0</v>
      </c>
      <c r="I49" s="3">
        <v>0</v>
      </c>
      <c r="K49" s="3">
        <v>0</v>
      </c>
      <c r="L49" s="3">
        <v>0</v>
      </c>
      <c r="M49" s="3">
        <v>0</v>
      </c>
    </row>
    <row r="50" spans="1:13">
      <c r="A50" t="s">
        <v>16</v>
      </c>
      <c r="C50" s="3">
        <f>C49/C48</f>
        <v>0</v>
      </c>
      <c r="D50" s="3">
        <f>D49/D48</f>
        <v>0</v>
      </c>
      <c r="E50" s="3">
        <f>E49/E48</f>
        <v>0</v>
      </c>
      <c r="G50" s="3">
        <f>G49/G48</f>
        <v>0</v>
      </c>
      <c r="H50" s="3">
        <f>H49/H48</f>
        <v>0</v>
      </c>
      <c r="I50" s="3">
        <f>I49/I48</f>
        <v>0</v>
      </c>
      <c r="K50" s="3">
        <f>K49/K48</f>
        <v>0</v>
      </c>
      <c r="L50" s="3">
        <f>L49/L48</f>
        <v>0</v>
      </c>
      <c r="M50" s="3">
        <f>M49/M48</f>
        <v>0</v>
      </c>
    </row>
    <row r="51" spans="1:13">
      <c r="A51" t="s">
        <v>17</v>
      </c>
      <c r="C51" s="3">
        <v>0</v>
      </c>
      <c r="D51" s="3">
        <v>0</v>
      </c>
      <c r="E51" s="3">
        <v>0</v>
      </c>
      <c r="G51" s="3">
        <v>0</v>
      </c>
      <c r="H51" s="3">
        <v>0</v>
      </c>
      <c r="I51" s="3">
        <v>0</v>
      </c>
      <c r="K51" s="3">
        <v>0</v>
      </c>
      <c r="L51" s="3">
        <v>0</v>
      </c>
      <c r="M51" s="3">
        <v>0</v>
      </c>
    </row>
    <row r="52" spans="1:13">
      <c r="A52" t="s">
        <v>18</v>
      </c>
      <c r="C52" s="3">
        <v>0</v>
      </c>
      <c r="D52" s="3">
        <v>0</v>
      </c>
      <c r="E52" s="3">
        <v>0</v>
      </c>
      <c r="G52" s="3">
        <v>0</v>
      </c>
      <c r="H52" s="3">
        <v>0</v>
      </c>
      <c r="I52" s="3">
        <v>0</v>
      </c>
      <c r="K52" s="3">
        <v>0</v>
      </c>
      <c r="L52" s="3">
        <v>0</v>
      </c>
      <c r="M52" s="3">
        <v>0</v>
      </c>
    </row>
    <row r="53" spans="1:13">
      <c r="A53" t="s">
        <v>19</v>
      </c>
      <c r="C53" s="3">
        <f>C49*C52*C51-C51</f>
        <v>0</v>
      </c>
      <c r="D53" s="3">
        <f>D49*D52*D51-D51</f>
        <v>0</v>
      </c>
      <c r="E53" s="3">
        <f>E49*E52*E51-E51</f>
        <v>0</v>
      </c>
      <c r="G53" s="3">
        <f>G49*G52*G51-G51</f>
        <v>0</v>
      </c>
      <c r="H53" s="3">
        <f>H49*H52*H51-H51</f>
        <v>0</v>
      </c>
      <c r="I53" s="3">
        <f>I49*I52*I51-I51</f>
        <v>0</v>
      </c>
      <c r="K53" s="3">
        <f>K49*K52*K51-K51</f>
        <v>0</v>
      </c>
      <c r="L53" s="3">
        <f>L49*L52*L51-L51</f>
        <v>0</v>
      </c>
      <c r="M53" s="3">
        <f>M49*M52*M51-M51</f>
        <v>0</v>
      </c>
    </row>
    <row r="55" spans="1:13">
      <c r="A55" s="1" t="s">
        <v>0</v>
      </c>
      <c r="C55" s="1" t="s">
        <v>1</v>
      </c>
      <c r="E55" s="1">
        <f>0+C62+D62+E62 + E46</f>
        <v>0</v>
      </c>
      <c r="G55" s="1" t="s">
        <v>2</v>
      </c>
      <c r="I55" s="1">
        <f>0+G62+H62+I62 + I46</f>
        <v>0</v>
      </c>
      <c r="K55" s="1" t="s">
        <v>3</v>
      </c>
      <c r="M55" s="1">
        <f>0+K62+L62+M62 + M46</f>
        <v>0</v>
      </c>
    </row>
    <row r="56" spans="1:13">
      <c r="A56" t="s">
        <v>25</v>
      </c>
      <c r="C56" s="2" t="s">
        <v>5</v>
      </c>
      <c r="D56" s="2" t="s">
        <v>6</v>
      </c>
      <c r="E56" s="2" t="s">
        <v>7</v>
      </c>
      <c r="G56" s="2" t="s">
        <v>8</v>
      </c>
      <c r="H56" s="2" t="s">
        <v>9</v>
      </c>
      <c r="I56" s="2" t="s">
        <v>10</v>
      </c>
      <c r="K56" s="2" t="s">
        <v>11</v>
      </c>
      <c r="L56" s="2" t="s">
        <v>12</v>
      </c>
      <c r="M56" s="2" t="s">
        <v>13</v>
      </c>
    </row>
    <row r="57" spans="1:13">
      <c r="A57" t="s">
        <v>14</v>
      </c>
      <c r="C57" s="3">
        <v>11.393000000000001</v>
      </c>
      <c r="D57" s="3">
        <v>16.908000000000001</v>
      </c>
      <c r="E57" s="3">
        <v>1.1719999999999999</v>
      </c>
      <c r="G57" s="3">
        <v>8.4019999999999992</v>
      </c>
      <c r="H57" s="3">
        <v>2.5649999999999999</v>
      </c>
      <c r="I57" s="3">
        <v>2.036</v>
      </c>
      <c r="K57" s="3">
        <v>17.416</v>
      </c>
      <c r="L57" s="3">
        <v>2.1440000000000001</v>
      </c>
      <c r="M57" s="3">
        <v>2.0990000000000002</v>
      </c>
    </row>
    <row r="58" spans="1:13">
      <c r="A58" t="s">
        <v>15</v>
      </c>
      <c r="C58" s="3">
        <v>0</v>
      </c>
      <c r="D58" s="3">
        <v>0</v>
      </c>
      <c r="E58" s="3">
        <v>0</v>
      </c>
      <c r="G58" s="3">
        <v>0</v>
      </c>
      <c r="H58" s="3">
        <v>0</v>
      </c>
      <c r="I58" s="3">
        <v>0</v>
      </c>
      <c r="K58" s="3">
        <v>0</v>
      </c>
      <c r="L58" s="3">
        <v>0</v>
      </c>
      <c r="M58" s="3">
        <v>0</v>
      </c>
    </row>
    <row r="59" spans="1:13">
      <c r="A59" t="s">
        <v>16</v>
      </c>
      <c r="C59" s="3">
        <f>C58/C57</f>
        <v>0</v>
      </c>
      <c r="D59" s="3">
        <f>D58/D57</f>
        <v>0</v>
      </c>
      <c r="E59" s="3">
        <f>E58/E57</f>
        <v>0</v>
      </c>
      <c r="G59" s="3">
        <f>G58/G57</f>
        <v>0</v>
      </c>
      <c r="H59" s="3">
        <f>H58/H57</f>
        <v>0</v>
      </c>
      <c r="I59" s="3">
        <f>I58/I57</f>
        <v>0</v>
      </c>
      <c r="K59" s="3">
        <f>K58/K57</f>
        <v>0</v>
      </c>
      <c r="L59" s="3">
        <f>L58/L57</f>
        <v>0</v>
      </c>
      <c r="M59" s="3">
        <f>M58/M57</f>
        <v>0</v>
      </c>
    </row>
    <row r="60" spans="1:13">
      <c r="A60" t="s">
        <v>17</v>
      </c>
      <c r="C60" s="3">
        <v>0</v>
      </c>
      <c r="D60" s="3">
        <v>0</v>
      </c>
      <c r="E60" s="3">
        <v>0</v>
      </c>
      <c r="G60" s="3">
        <v>0</v>
      </c>
      <c r="H60" s="3">
        <v>0</v>
      </c>
      <c r="I60" s="3">
        <v>0</v>
      </c>
      <c r="K60" s="3">
        <v>0</v>
      </c>
      <c r="L60" s="3">
        <v>0</v>
      </c>
      <c r="M60" s="3">
        <v>0</v>
      </c>
    </row>
    <row r="61" spans="1:13">
      <c r="A61" t="s">
        <v>18</v>
      </c>
      <c r="C61" s="3">
        <v>0</v>
      </c>
      <c r="D61" s="3">
        <v>0</v>
      </c>
      <c r="E61" s="3">
        <v>0</v>
      </c>
      <c r="G61" s="3">
        <v>0</v>
      </c>
      <c r="H61" s="3">
        <v>0</v>
      </c>
      <c r="I61" s="3">
        <v>0</v>
      </c>
      <c r="K61" s="3">
        <v>0</v>
      </c>
      <c r="L61" s="3">
        <v>0</v>
      </c>
      <c r="M61" s="3">
        <v>0</v>
      </c>
    </row>
    <row r="62" spans="1:13">
      <c r="A62" t="s">
        <v>19</v>
      </c>
      <c r="C62" s="3">
        <f>C58*C61*C60-C60</f>
        <v>0</v>
      </c>
      <c r="D62" s="3">
        <f>D58*D61*D60-D60</f>
        <v>0</v>
      </c>
      <c r="E62" s="3">
        <f>E58*E61*E60-E60</f>
        <v>0</v>
      </c>
      <c r="G62" s="3">
        <f>G58*G61*G60-G60</f>
        <v>0</v>
      </c>
      <c r="H62" s="3">
        <f>H58*H61*H60-H60</f>
        <v>0</v>
      </c>
      <c r="I62" s="3">
        <f>I58*I61*I60-I60</f>
        <v>0</v>
      </c>
      <c r="K62" s="3">
        <f>K58*K61*K60-K60</f>
        <v>0</v>
      </c>
      <c r="L62" s="3">
        <f>L58*L61*L60-L60</f>
        <v>0</v>
      </c>
      <c r="M62" s="3">
        <f>M58*M61*M60-M60</f>
        <v>0</v>
      </c>
    </row>
    <row r="64" spans="1:13">
      <c r="A64" s="1" t="s">
        <v>26</v>
      </c>
      <c r="C64" s="1" t="s">
        <v>1</v>
      </c>
      <c r="E64" s="1">
        <f>0+C71+D71+E71 + E55</f>
        <v>0</v>
      </c>
      <c r="G64" s="1" t="s">
        <v>2</v>
      </c>
      <c r="I64" s="1">
        <f>0+G71+H71+I71 + I55</f>
        <v>0</v>
      </c>
      <c r="K64" s="1" t="s">
        <v>3</v>
      </c>
      <c r="M64" s="1">
        <f>0+K71+L71+M71 + M55</f>
        <v>0</v>
      </c>
    </row>
    <row r="65" spans="1:13">
      <c r="A65" t="s">
        <v>27</v>
      </c>
      <c r="C65" s="2" t="s">
        <v>5</v>
      </c>
      <c r="D65" s="2" t="s">
        <v>6</v>
      </c>
      <c r="E65" s="2" t="s">
        <v>7</v>
      </c>
      <c r="G65" s="2" t="s">
        <v>8</v>
      </c>
      <c r="H65" s="2" t="s">
        <v>9</v>
      </c>
      <c r="I65" s="2" t="s">
        <v>10</v>
      </c>
      <c r="K65" s="2" t="s">
        <v>11</v>
      </c>
      <c r="L65" s="2" t="s">
        <v>12</v>
      </c>
      <c r="M65" s="2" t="s">
        <v>13</v>
      </c>
    </row>
    <row r="66" spans="1:13">
      <c r="A66" t="s">
        <v>14</v>
      </c>
      <c r="C66" s="3">
        <v>1.331</v>
      </c>
      <c r="D66" s="3">
        <v>7.9809999999999999</v>
      </c>
      <c r="E66" s="3">
        <v>8.0969999999999995</v>
      </c>
      <c r="G66" s="3">
        <v>1.2</v>
      </c>
      <c r="H66" s="3">
        <v>8.7739999999999991</v>
      </c>
      <c r="I66" s="3">
        <v>18.838999999999999</v>
      </c>
      <c r="K66" s="3">
        <v>1.891</v>
      </c>
      <c r="L66" s="3">
        <v>2.93</v>
      </c>
      <c r="M66" s="3">
        <v>7.6859999999999999</v>
      </c>
    </row>
    <row r="67" spans="1:13">
      <c r="A67" t="s">
        <v>15</v>
      </c>
      <c r="C67" s="3">
        <v>0</v>
      </c>
      <c r="D67" s="3">
        <v>0</v>
      </c>
      <c r="E67" s="3">
        <v>0</v>
      </c>
      <c r="G67" s="3">
        <v>0</v>
      </c>
      <c r="H67" s="3">
        <v>0</v>
      </c>
      <c r="I67" s="3">
        <v>0</v>
      </c>
      <c r="K67" s="3">
        <v>0</v>
      </c>
      <c r="L67" s="3">
        <v>0</v>
      </c>
      <c r="M67" s="3">
        <v>0</v>
      </c>
    </row>
    <row r="68" spans="1:13">
      <c r="A68" t="s">
        <v>16</v>
      </c>
      <c r="C68" s="3">
        <f>C67/C66</f>
        <v>0</v>
      </c>
      <c r="D68" s="3">
        <f>D67/D66</f>
        <v>0</v>
      </c>
      <c r="E68" s="3">
        <f>E67/E66</f>
        <v>0</v>
      </c>
      <c r="G68" s="3">
        <f>G67/G66</f>
        <v>0</v>
      </c>
      <c r="H68" s="3">
        <f>H67/H66</f>
        <v>0</v>
      </c>
      <c r="I68" s="3">
        <f>I67/I66</f>
        <v>0</v>
      </c>
      <c r="K68" s="3">
        <f>K67/K66</f>
        <v>0</v>
      </c>
      <c r="L68" s="3">
        <f>L67/L66</f>
        <v>0</v>
      </c>
      <c r="M68" s="3">
        <f>M67/M66</f>
        <v>0</v>
      </c>
    </row>
    <row r="69" spans="1:13">
      <c r="A69" t="s">
        <v>17</v>
      </c>
      <c r="C69" s="3">
        <v>0</v>
      </c>
      <c r="D69" s="3">
        <v>0</v>
      </c>
      <c r="E69" s="3">
        <v>0</v>
      </c>
      <c r="G69" s="3">
        <v>0</v>
      </c>
      <c r="H69" s="3">
        <v>0</v>
      </c>
      <c r="I69" s="3">
        <v>0</v>
      </c>
      <c r="K69" s="3">
        <v>0</v>
      </c>
      <c r="L69" s="3">
        <v>0</v>
      </c>
      <c r="M69" s="3">
        <v>0</v>
      </c>
    </row>
    <row r="70" spans="1:13">
      <c r="A70" t="s">
        <v>18</v>
      </c>
      <c r="C70" s="3">
        <v>0</v>
      </c>
      <c r="D70" s="3">
        <v>0</v>
      </c>
      <c r="E70" s="3">
        <v>0</v>
      </c>
      <c r="G70" s="3">
        <v>0</v>
      </c>
      <c r="H70" s="3">
        <v>0</v>
      </c>
      <c r="I70" s="3">
        <v>0</v>
      </c>
      <c r="K70" s="3">
        <v>0</v>
      </c>
      <c r="L70" s="3">
        <v>0</v>
      </c>
      <c r="M70" s="3">
        <v>0</v>
      </c>
    </row>
    <row r="71" spans="1:13">
      <c r="A71" t="s">
        <v>19</v>
      </c>
      <c r="C71" s="3">
        <f>C67*C70*C69-C69</f>
        <v>0</v>
      </c>
      <c r="D71" s="3">
        <f>D67*D70*D69-D69</f>
        <v>0</v>
      </c>
      <c r="E71" s="3">
        <f>E67*E70*E69-E69</f>
        <v>0</v>
      </c>
      <c r="G71" s="3">
        <f>G67*G70*G69-G69</f>
        <v>0</v>
      </c>
      <c r="H71" s="3">
        <f>H67*H70*H69-H69</f>
        <v>0</v>
      </c>
      <c r="I71" s="3">
        <f>I67*I70*I69-I69</f>
        <v>0</v>
      </c>
      <c r="K71" s="3">
        <f>K67*K70*K69-K69</f>
        <v>0</v>
      </c>
      <c r="L71" s="3">
        <f>L67*L70*L69-L69</f>
        <v>0</v>
      </c>
      <c r="M71" s="3">
        <f>M67*M70*M69-M69</f>
        <v>0</v>
      </c>
    </row>
    <row r="73" spans="1:13">
      <c r="A73" s="1" t="s">
        <v>26</v>
      </c>
      <c r="C73" s="1" t="s">
        <v>1</v>
      </c>
      <c r="E73" s="1">
        <f>0+C80+D80+E80 + E64</f>
        <v>0</v>
      </c>
      <c r="G73" s="1" t="s">
        <v>2</v>
      </c>
      <c r="I73" s="1">
        <f>0+G80+H80+I80 + I64</f>
        <v>0</v>
      </c>
      <c r="K73" s="1" t="s">
        <v>3</v>
      </c>
      <c r="M73" s="1">
        <f>0+K80+L80+M80 + M64</f>
        <v>0</v>
      </c>
    </row>
    <row r="74" spans="1:13">
      <c r="A74" t="s">
        <v>28</v>
      </c>
      <c r="C74" s="2" t="s">
        <v>5</v>
      </c>
      <c r="D74" s="2" t="s">
        <v>6</v>
      </c>
      <c r="E74" s="2" t="s">
        <v>7</v>
      </c>
      <c r="G74" s="2" t="s">
        <v>8</v>
      </c>
      <c r="H74" s="2" t="s">
        <v>9</v>
      </c>
      <c r="I74" s="2" t="s">
        <v>10</v>
      </c>
      <c r="K74" s="2" t="s">
        <v>11</v>
      </c>
      <c r="L74" s="2" t="s">
        <v>12</v>
      </c>
      <c r="M74" s="2" t="s">
        <v>13</v>
      </c>
    </row>
    <row r="75" spans="1:13">
      <c r="A75" t="s">
        <v>14</v>
      </c>
      <c r="C75" s="3">
        <v>12.475</v>
      </c>
      <c r="D75" s="3">
        <v>7.5579999999999998</v>
      </c>
      <c r="E75" s="3">
        <v>1.2689999999999999</v>
      </c>
      <c r="G75" s="3">
        <v>77.918000000000006</v>
      </c>
      <c r="H75" s="3">
        <v>1.3029999999999999</v>
      </c>
      <c r="I75" s="3">
        <v>4.5510000000000002</v>
      </c>
      <c r="K75" s="3">
        <v>4.9429999999999996</v>
      </c>
      <c r="L75" s="3">
        <v>16.77</v>
      </c>
      <c r="M75" s="3">
        <v>1.3540000000000001</v>
      </c>
    </row>
    <row r="76" spans="1:13">
      <c r="A76" t="s">
        <v>15</v>
      </c>
      <c r="C76" s="3">
        <v>0</v>
      </c>
      <c r="D76" s="3">
        <v>0</v>
      </c>
      <c r="E76" s="3">
        <v>0</v>
      </c>
      <c r="G76" s="3">
        <v>0</v>
      </c>
      <c r="H76" s="3">
        <v>0</v>
      </c>
      <c r="I76" s="3">
        <v>0</v>
      </c>
      <c r="K76" s="3">
        <v>0</v>
      </c>
      <c r="L76" s="3">
        <v>0</v>
      </c>
      <c r="M76" s="3">
        <v>0</v>
      </c>
    </row>
    <row r="77" spans="1:13">
      <c r="A77" t="s">
        <v>16</v>
      </c>
      <c r="C77" s="3">
        <f>C76/C75</f>
        <v>0</v>
      </c>
      <c r="D77" s="3">
        <f>D76/D75</f>
        <v>0</v>
      </c>
      <c r="E77" s="3">
        <f>E76/E75</f>
        <v>0</v>
      </c>
      <c r="G77" s="3">
        <f>G76/G75</f>
        <v>0</v>
      </c>
      <c r="H77" s="3">
        <f>H76/H75</f>
        <v>0</v>
      </c>
      <c r="I77" s="3">
        <f>I76/I75</f>
        <v>0</v>
      </c>
      <c r="K77" s="3">
        <f>K76/K75</f>
        <v>0</v>
      </c>
      <c r="L77" s="3">
        <f>L76/L75</f>
        <v>0</v>
      </c>
      <c r="M77" s="3">
        <f>M76/M75</f>
        <v>0</v>
      </c>
    </row>
    <row r="78" spans="1:13">
      <c r="A78" t="s">
        <v>17</v>
      </c>
      <c r="C78" s="3">
        <v>0</v>
      </c>
      <c r="D78" s="3">
        <v>0</v>
      </c>
      <c r="E78" s="3">
        <v>0</v>
      </c>
      <c r="G78" s="3">
        <v>0</v>
      </c>
      <c r="H78" s="3">
        <v>0</v>
      </c>
      <c r="I78" s="3">
        <v>0</v>
      </c>
      <c r="K78" s="3">
        <v>0</v>
      </c>
      <c r="L78" s="3">
        <v>0</v>
      </c>
      <c r="M78" s="3">
        <v>0</v>
      </c>
    </row>
    <row r="79" spans="1:13">
      <c r="A79" t="s">
        <v>18</v>
      </c>
      <c r="C79" s="3">
        <v>0</v>
      </c>
      <c r="D79" s="3">
        <v>0</v>
      </c>
      <c r="E79" s="3">
        <v>0</v>
      </c>
      <c r="G79" s="3">
        <v>0</v>
      </c>
      <c r="H79" s="3">
        <v>0</v>
      </c>
      <c r="I79" s="3">
        <v>0</v>
      </c>
      <c r="K79" s="3">
        <v>0</v>
      </c>
      <c r="L79" s="3">
        <v>0</v>
      </c>
      <c r="M79" s="3">
        <v>0</v>
      </c>
    </row>
    <row r="80" spans="1:13">
      <c r="A80" t="s">
        <v>19</v>
      </c>
      <c r="C80" s="3">
        <f>C76*C79*C78-C78</f>
        <v>0</v>
      </c>
      <c r="D80" s="3">
        <f>D76*D79*D78-D78</f>
        <v>0</v>
      </c>
      <c r="E80" s="3">
        <f>E76*E79*E78-E78</f>
        <v>0</v>
      </c>
      <c r="G80" s="3">
        <f>G76*G79*G78-G78</f>
        <v>0</v>
      </c>
      <c r="H80" s="3">
        <f>H76*H79*H78-H78</f>
        <v>0</v>
      </c>
      <c r="I80" s="3">
        <f>I76*I79*I78-I78</f>
        <v>0</v>
      </c>
      <c r="K80" s="3">
        <f>K76*K79*K78-K78</f>
        <v>0</v>
      </c>
      <c r="L80" s="3">
        <f>L76*L79*L78-L78</f>
        <v>0</v>
      </c>
      <c r="M80" s="3">
        <f>M76*M79*M78-M78</f>
        <v>0</v>
      </c>
    </row>
    <row r="82" spans="1:13">
      <c r="A82" s="1" t="s">
        <v>26</v>
      </c>
      <c r="C82" s="1" t="s">
        <v>1</v>
      </c>
      <c r="E82" s="1">
        <f>0+C89+D89+E89 + E73</f>
        <v>0</v>
      </c>
      <c r="G82" s="1" t="s">
        <v>2</v>
      </c>
      <c r="I82" s="1">
        <f>0+G89+H89+I89 + I73</f>
        <v>0</v>
      </c>
      <c r="K82" s="1" t="s">
        <v>3</v>
      </c>
      <c r="M82" s="1">
        <f>0+K89+L89+M89 + M73</f>
        <v>0</v>
      </c>
    </row>
    <row r="83" spans="1:13">
      <c r="A83" t="s">
        <v>29</v>
      </c>
      <c r="C83" s="2" t="s">
        <v>5</v>
      </c>
      <c r="D83" s="2" t="s">
        <v>6</v>
      </c>
      <c r="E83" s="2" t="s">
        <v>7</v>
      </c>
      <c r="G83" s="2" t="s">
        <v>8</v>
      </c>
      <c r="H83" s="2" t="s">
        <v>9</v>
      </c>
      <c r="I83" s="2" t="s">
        <v>10</v>
      </c>
      <c r="K83" s="2" t="s">
        <v>11</v>
      </c>
      <c r="L83" s="2" t="s">
        <v>12</v>
      </c>
      <c r="M83" s="2" t="s">
        <v>13</v>
      </c>
    </row>
    <row r="84" spans="1:13">
      <c r="A84" t="s">
        <v>14</v>
      </c>
      <c r="C84" s="3">
        <v>2.4740000000000002</v>
      </c>
      <c r="D84" s="3">
        <v>6.9880000000000004</v>
      </c>
      <c r="E84" s="3">
        <v>2.2080000000000002</v>
      </c>
      <c r="G84" s="3">
        <v>1.9350000000000001</v>
      </c>
      <c r="H84" s="3">
        <v>9.234</v>
      </c>
      <c r="I84" s="3">
        <v>2.6659999999999999</v>
      </c>
      <c r="K84" s="3">
        <v>2.3220000000000001</v>
      </c>
      <c r="L84" s="3">
        <v>3.851</v>
      </c>
      <c r="M84" s="3">
        <v>3.2280000000000002</v>
      </c>
    </row>
    <row r="85" spans="1:13">
      <c r="A85" t="s">
        <v>15</v>
      </c>
      <c r="C85" s="3">
        <v>0</v>
      </c>
      <c r="D85" s="3">
        <v>0</v>
      </c>
      <c r="E85" s="3">
        <v>0</v>
      </c>
      <c r="G85" s="3">
        <v>0</v>
      </c>
      <c r="H85" s="3">
        <v>0</v>
      </c>
      <c r="I85" s="3">
        <v>0</v>
      </c>
      <c r="K85" s="3">
        <v>0</v>
      </c>
      <c r="L85" s="3">
        <v>0</v>
      </c>
      <c r="M85" s="3">
        <v>0</v>
      </c>
    </row>
    <row r="86" spans="1:13">
      <c r="A86" t="s">
        <v>16</v>
      </c>
      <c r="C86" s="3">
        <f>C85/C84</f>
        <v>0</v>
      </c>
      <c r="D86" s="3">
        <f>D85/D84</f>
        <v>0</v>
      </c>
      <c r="E86" s="3">
        <f>E85/E84</f>
        <v>0</v>
      </c>
      <c r="G86" s="3">
        <f>G85/G84</f>
        <v>0</v>
      </c>
      <c r="H86" s="3">
        <f>H85/H84</f>
        <v>0</v>
      </c>
      <c r="I86" s="3">
        <f>I85/I84</f>
        <v>0</v>
      </c>
      <c r="K86" s="3">
        <f>K85/K84</f>
        <v>0</v>
      </c>
      <c r="L86" s="3">
        <f>L85/L84</f>
        <v>0</v>
      </c>
      <c r="M86" s="3">
        <f>M85/M84</f>
        <v>0</v>
      </c>
    </row>
    <row r="87" spans="1:13">
      <c r="A87" t="s">
        <v>17</v>
      </c>
      <c r="C87" s="3">
        <v>0</v>
      </c>
      <c r="D87" s="3">
        <v>0</v>
      </c>
      <c r="E87" s="3">
        <v>0</v>
      </c>
      <c r="G87" s="3">
        <v>0</v>
      </c>
      <c r="H87" s="3">
        <v>0</v>
      </c>
      <c r="I87" s="3">
        <v>0</v>
      </c>
      <c r="K87" s="3">
        <v>0</v>
      </c>
      <c r="L87" s="3">
        <v>0</v>
      </c>
      <c r="M87" s="3">
        <v>0</v>
      </c>
    </row>
    <row r="88" spans="1:13">
      <c r="A88" t="s">
        <v>18</v>
      </c>
      <c r="C88" s="3">
        <v>0</v>
      </c>
      <c r="D88" s="3">
        <v>0</v>
      </c>
      <c r="E88" s="3">
        <v>0</v>
      </c>
      <c r="G88" s="3">
        <v>0</v>
      </c>
      <c r="H88" s="3">
        <v>0</v>
      </c>
      <c r="I88" s="3">
        <v>0</v>
      </c>
      <c r="K88" s="3">
        <v>0</v>
      </c>
      <c r="L88" s="3">
        <v>0</v>
      </c>
      <c r="M88" s="3">
        <v>0</v>
      </c>
    </row>
    <row r="89" spans="1:13">
      <c r="A89" t="s">
        <v>19</v>
      </c>
      <c r="C89" s="3">
        <f>C85*C88*C87-C87</f>
        <v>0</v>
      </c>
      <c r="D89" s="3">
        <f>D85*D88*D87-D87</f>
        <v>0</v>
      </c>
      <c r="E89" s="3">
        <f>E85*E88*E87-E87</f>
        <v>0</v>
      </c>
      <c r="G89" s="3">
        <f>G85*G88*G87-G87</f>
        <v>0</v>
      </c>
      <c r="H89" s="3">
        <f>H85*H88*H87-H87</f>
        <v>0</v>
      </c>
      <c r="I89" s="3">
        <f>I85*I88*I87-I87</f>
        <v>0</v>
      </c>
      <c r="K89" s="3">
        <f>K85*K88*K87-K87</f>
        <v>0</v>
      </c>
      <c r="L89" s="3">
        <f>L85*L88*L87-L87</f>
        <v>0</v>
      </c>
      <c r="M89" s="3">
        <f>M85*M88*M87-M87</f>
        <v>0</v>
      </c>
    </row>
    <row r="91" spans="1:13">
      <c r="A91" s="1" t="s">
        <v>26</v>
      </c>
      <c r="C91" s="1" t="s">
        <v>1</v>
      </c>
      <c r="E91" s="1">
        <f>0+C98+D98+E98 + E82</f>
        <v>0</v>
      </c>
      <c r="G91" s="1" t="s">
        <v>2</v>
      </c>
      <c r="I91" s="1">
        <f>0+G98+H98+I98 + I82</f>
        <v>0</v>
      </c>
      <c r="K91" s="1" t="s">
        <v>3</v>
      </c>
      <c r="M91" s="1">
        <f>0+K98+L98+M98 + M82</f>
        <v>0</v>
      </c>
    </row>
    <row r="92" spans="1:13">
      <c r="A92" t="s">
        <v>30</v>
      </c>
      <c r="C92" s="2" t="s">
        <v>5</v>
      </c>
      <c r="D92" s="2" t="s">
        <v>6</v>
      </c>
      <c r="E92" s="2" t="s">
        <v>7</v>
      </c>
      <c r="G92" s="2" t="s">
        <v>8</v>
      </c>
      <c r="H92" s="2" t="s">
        <v>9</v>
      </c>
      <c r="I92" s="2" t="s">
        <v>10</v>
      </c>
      <c r="K92" s="2" t="s">
        <v>11</v>
      </c>
      <c r="L92" s="2" t="s">
        <v>12</v>
      </c>
      <c r="M92" s="2" t="s">
        <v>13</v>
      </c>
    </row>
    <row r="93" spans="1:13">
      <c r="A93" t="s">
        <v>14</v>
      </c>
      <c r="C93" s="3">
        <v>1.1359999999999999</v>
      </c>
      <c r="D93" s="3">
        <v>11.593999999999999</v>
      </c>
      <c r="E93" s="3">
        <v>29.838999999999999</v>
      </c>
      <c r="G93" s="3">
        <v>2.831</v>
      </c>
      <c r="H93" s="3">
        <v>1.694</v>
      </c>
      <c r="I93" s="3">
        <v>17.587</v>
      </c>
      <c r="K93" s="3">
        <v>1.3120000000000001</v>
      </c>
      <c r="L93" s="3">
        <v>6.835</v>
      </c>
      <c r="M93" s="3">
        <v>10.919</v>
      </c>
    </row>
    <row r="94" spans="1:13">
      <c r="A94" t="s">
        <v>15</v>
      </c>
      <c r="C94" s="3">
        <v>0</v>
      </c>
      <c r="D94" s="3">
        <v>0</v>
      </c>
      <c r="E94" s="3">
        <v>0</v>
      </c>
      <c r="G94" s="3">
        <v>0</v>
      </c>
      <c r="H94" s="3">
        <v>0</v>
      </c>
      <c r="I94" s="3">
        <v>0</v>
      </c>
      <c r="K94" s="3">
        <v>0</v>
      </c>
      <c r="L94" s="3">
        <v>0</v>
      </c>
      <c r="M94" s="3">
        <v>0</v>
      </c>
    </row>
    <row r="95" spans="1:13">
      <c r="A95" t="s">
        <v>16</v>
      </c>
      <c r="C95" s="3">
        <f>C94/C93</f>
        <v>0</v>
      </c>
      <c r="D95" s="3">
        <f>D94/D93</f>
        <v>0</v>
      </c>
      <c r="E95" s="3">
        <f>E94/E93</f>
        <v>0</v>
      </c>
      <c r="G95" s="3">
        <f>G94/G93</f>
        <v>0</v>
      </c>
      <c r="H95" s="3">
        <f>H94/H93</f>
        <v>0</v>
      </c>
      <c r="I95" s="3">
        <f>I94/I93</f>
        <v>0</v>
      </c>
      <c r="K95" s="3">
        <f>K94/K93</f>
        <v>0</v>
      </c>
      <c r="L95" s="3">
        <f>L94/L93</f>
        <v>0</v>
      </c>
      <c r="M95" s="3">
        <f>M94/M93</f>
        <v>0</v>
      </c>
    </row>
    <row r="96" spans="1:13">
      <c r="A96" t="s">
        <v>17</v>
      </c>
      <c r="C96" s="3">
        <v>0</v>
      </c>
      <c r="D96" s="3">
        <v>0</v>
      </c>
      <c r="E96" s="3">
        <v>0</v>
      </c>
      <c r="G96" s="3">
        <v>0</v>
      </c>
      <c r="H96" s="3">
        <v>0</v>
      </c>
      <c r="I96" s="3">
        <v>0</v>
      </c>
      <c r="K96" s="3">
        <v>0</v>
      </c>
      <c r="L96" s="3">
        <v>0</v>
      </c>
      <c r="M96" s="3">
        <v>0</v>
      </c>
    </row>
    <row r="97" spans="1:13">
      <c r="A97" t="s">
        <v>18</v>
      </c>
      <c r="C97" s="3">
        <v>0</v>
      </c>
      <c r="D97" s="3">
        <v>0</v>
      </c>
      <c r="E97" s="3">
        <v>0</v>
      </c>
      <c r="G97" s="3">
        <v>0</v>
      </c>
      <c r="H97" s="3">
        <v>0</v>
      </c>
      <c r="I97" s="3">
        <v>0</v>
      </c>
      <c r="K97" s="3">
        <v>0</v>
      </c>
      <c r="L97" s="3">
        <v>0</v>
      </c>
      <c r="M97" s="3">
        <v>0</v>
      </c>
    </row>
    <row r="98" spans="1:13">
      <c r="A98" t="s">
        <v>19</v>
      </c>
      <c r="C98" s="3">
        <f>C94*C97*C96-C96</f>
        <v>0</v>
      </c>
      <c r="D98" s="3">
        <f>D94*D97*D96-D96</f>
        <v>0</v>
      </c>
      <c r="E98" s="3">
        <f>E94*E97*E96-E96</f>
        <v>0</v>
      </c>
      <c r="G98" s="3">
        <f>G94*G97*G96-G96</f>
        <v>0</v>
      </c>
      <c r="H98" s="3">
        <f>H94*H97*H96-H96</f>
        <v>0</v>
      </c>
      <c r="I98" s="3">
        <f>I94*I97*I96-I96</f>
        <v>0</v>
      </c>
      <c r="K98" s="3">
        <f>K94*K97*K96-K96</f>
        <v>0</v>
      </c>
      <c r="L98" s="3">
        <f>L94*L97*L96-L96</f>
        <v>0</v>
      </c>
      <c r="M98" s="3">
        <f>M94*M97*M96-M96</f>
        <v>0</v>
      </c>
    </row>
    <row r="100" spans="1:13">
      <c r="A100" s="1" t="s">
        <v>26</v>
      </c>
      <c r="C100" s="1" t="s">
        <v>1</v>
      </c>
      <c r="E100" s="1">
        <f>0+C107+D107+E107 + E91</f>
        <v>0</v>
      </c>
      <c r="G100" s="1" t="s">
        <v>2</v>
      </c>
      <c r="I100" s="1">
        <f>0+G107+H107+I107 + I91</f>
        <v>0</v>
      </c>
      <c r="K100" s="1" t="s">
        <v>3</v>
      </c>
      <c r="M100" s="1">
        <f>0+K107+L107+M107 + M91</f>
        <v>0</v>
      </c>
    </row>
    <row r="101" spans="1:13">
      <c r="A101" t="s">
        <v>31</v>
      </c>
      <c r="C101" s="2" t="s">
        <v>5</v>
      </c>
      <c r="D101" s="2" t="s">
        <v>6</v>
      </c>
      <c r="E101" s="2" t="s">
        <v>7</v>
      </c>
      <c r="G101" s="2" t="s">
        <v>8</v>
      </c>
      <c r="H101" s="2" t="s">
        <v>9</v>
      </c>
      <c r="I101" s="2" t="s">
        <v>10</v>
      </c>
      <c r="K101" s="2" t="s">
        <v>11</v>
      </c>
      <c r="L101" s="2" t="s">
        <v>12</v>
      </c>
      <c r="M101" s="2" t="s">
        <v>13</v>
      </c>
    </row>
    <row r="102" spans="1:13">
      <c r="A102" t="s">
        <v>14</v>
      </c>
      <c r="C102" s="3">
        <v>1.7989999999999999</v>
      </c>
      <c r="D102" s="3">
        <v>5.8360000000000003</v>
      </c>
      <c r="E102" s="3">
        <v>3.6619999999999999</v>
      </c>
      <c r="G102" s="3">
        <v>14.49</v>
      </c>
      <c r="H102" s="3">
        <v>2.8370000000000002</v>
      </c>
      <c r="I102" s="3">
        <v>1.728</v>
      </c>
      <c r="K102" s="3">
        <v>2.5089999999999999</v>
      </c>
      <c r="L102" s="3">
        <v>2.1230000000000002</v>
      </c>
      <c r="M102" s="3">
        <v>7.657</v>
      </c>
    </row>
    <row r="103" spans="1:13">
      <c r="A103" t="s">
        <v>15</v>
      </c>
      <c r="C103" s="3">
        <v>0</v>
      </c>
      <c r="D103" s="3">
        <v>0</v>
      </c>
      <c r="E103" s="3">
        <v>0</v>
      </c>
      <c r="G103" s="3">
        <v>0</v>
      </c>
      <c r="H103" s="3">
        <v>0</v>
      </c>
      <c r="I103" s="3">
        <v>0</v>
      </c>
      <c r="K103" s="3">
        <v>0</v>
      </c>
      <c r="L103" s="3">
        <v>0</v>
      </c>
      <c r="M103" s="3">
        <v>0</v>
      </c>
    </row>
    <row r="104" spans="1:13">
      <c r="A104" t="s">
        <v>16</v>
      </c>
      <c r="C104" s="3">
        <f>C103/C102</f>
        <v>0</v>
      </c>
      <c r="D104" s="3">
        <f>D103/D102</f>
        <v>0</v>
      </c>
      <c r="E104" s="3">
        <f>E103/E102</f>
        <v>0</v>
      </c>
      <c r="G104" s="3">
        <f>G103/G102</f>
        <v>0</v>
      </c>
      <c r="H104" s="3">
        <f>H103/H102</f>
        <v>0</v>
      </c>
      <c r="I104" s="3">
        <f>I103/I102</f>
        <v>0</v>
      </c>
      <c r="K104" s="3">
        <f>K103/K102</f>
        <v>0</v>
      </c>
      <c r="L104" s="3">
        <f>L103/L102</f>
        <v>0</v>
      </c>
      <c r="M104" s="3">
        <f>M103/M102</f>
        <v>0</v>
      </c>
    </row>
    <row r="105" spans="1:13">
      <c r="A105" t="s">
        <v>17</v>
      </c>
      <c r="C105" s="3">
        <v>0</v>
      </c>
      <c r="D105" s="3">
        <v>0</v>
      </c>
      <c r="E105" s="3">
        <v>0</v>
      </c>
      <c r="G105" s="3">
        <v>0</v>
      </c>
      <c r="H105" s="3">
        <v>0</v>
      </c>
      <c r="I105" s="3">
        <v>0</v>
      </c>
      <c r="K105" s="3">
        <v>0</v>
      </c>
      <c r="L105" s="3">
        <v>0</v>
      </c>
      <c r="M105" s="3">
        <v>0</v>
      </c>
    </row>
    <row r="106" spans="1:13">
      <c r="A106" t="s">
        <v>18</v>
      </c>
      <c r="C106" s="3">
        <v>0</v>
      </c>
      <c r="D106" s="3">
        <v>0</v>
      </c>
      <c r="E106" s="3">
        <v>0</v>
      </c>
      <c r="G106" s="3">
        <v>0</v>
      </c>
      <c r="H106" s="3">
        <v>0</v>
      </c>
      <c r="I106" s="3">
        <v>0</v>
      </c>
      <c r="K106" s="3">
        <v>0</v>
      </c>
      <c r="L106" s="3">
        <v>0</v>
      </c>
      <c r="M106" s="3">
        <v>0</v>
      </c>
    </row>
    <row r="107" spans="1:13">
      <c r="A107" t="s">
        <v>19</v>
      </c>
      <c r="C107" s="3">
        <f>C103*C106*C105-C105</f>
        <v>0</v>
      </c>
      <c r="D107" s="3">
        <f>D103*D106*D105-D105</f>
        <v>0</v>
      </c>
      <c r="E107" s="3">
        <f>E103*E106*E105-E105</f>
        <v>0</v>
      </c>
      <c r="G107" s="3">
        <f>G103*G106*G105-G105</f>
        <v>0</v>
      </c>
      <c r="H107" s="3">
        <f>H103*H106*H105-H105</f>
        <v>0</v>
      </c>
      <c r="I107" s="3">
        <f>I103*I106*I105-I105</f>
        <v>0</v>
      </c>
      <c r="K107" s="3">
        <f>K103*K106*K105-K105</f>
        <v>0</v>
      </c>
      <c r="L107" s="3">
        <f>L103*L106*L105-L105</f>
        <v>0</v>
      </c>
      <c r="M107" s="3">
        <f>M103*M106*M105-M105</f>
        <v>0</v>
      </c>
    </row>
    <row r="109" spans="1:13">
      <c r="A109" s="1" t="s">
        <v>26</v>
      </c>
      <c r="C109" s="1" t="s">
        <v>1</v>
      </c>
      <c r="E109" s="1">
        <f>0+C116+D116+E116 + E100</f>
        <v>0</v>
      </c>
      <c r="G109" s="1" t="s">
        <v>2</v>
      </c>
      <c r="I109" s="1">
        <f>0+G116+H116+I116 + I100</f>
        <v>0</v>
      </c>
      <c r="K109" s="1" t="s">
        <v>3</v>
      </c>
      <c r="M109" s="1">
        <f>0+K116+L116+M116 + M100</f>
        <v>0</v>
      </c>
    </row>
    <row r="110" spans="1:13">
      <c r="A110" t="s">
        <v>32</v>
      </c>
      <c r="C110" s="2" t="s">
        <v>5</v>
      </c>
      <c r="D110" s="2" t="s">
        <v>6</v>
      </c>
      <c r="E110" s="2" t="s">
        <v>7</v>
      </c>
      <c r="G110" s="2" t="s">
        <v>8</v>
      </c>
      <c r="H110" s="2" t="s">
        <v>9</v>
      </c>
      <c r="I110" s="2" t="s">
        <v>10</v>
      </c>
      <c r="K110" s="2" t="s">
        <v>11</v>
      </c>
      <c r="L110" s="2" t="s">
        <v>12</v>
      </c>
      <c r="M110" s="2" t="s">
        <v>13</v>
      </c>
    </row>
    <row r="111" spans="1:13">
      <c r="A111" t="s">
        <v>14</v>
      </c>
      <c r="C111" s="3">
        <v>1.4079999999999999</v>
      </c>
      <c r="D111" s="3">
        <v>4.5190000000000001</v>
      </c>
      <c r="E111" s="3">
        <v>14.567</v>
      </c>
      <c r="G111" s="3">
        <v>1.627</v>
      </c>
      <c r="H111" s="3">
        <v>2.9609999999999999</v>
      </c>
      <c r="I111" s="3">
        <v>20.856999999999999</v>
      </c>
      <c r="K111" s="3">
        <v>4.7130000000000001</v>
      </c>
      <c r="L111" s="3">
        <v>6.8220000000000001</v>
      </c>
      <c r="M111" s="3">
        <v>1.5589999999999999</v>
      </c>
    </row>
    <row r="112" spans="1:13">
      <c r="A112" t="s">
        <v>15</v>
      </c>
      <c r="C112" s="3">
        <v>0</v>
      </c>
      <c r="D112" s="3">
        <v>0</v>
      </c>
      <c r="E112" s="3">
        <v>0</v>
      </c>
      <c r="G112" s="3">
        <v>0</v>
      </c>
      <c r="H112" s="3">
        <v>0</v>
      </c>
      <c r="I112" s="3">
        <v>0</v>
      </c>
      <c r="K112" s="3">
        <v>0</v>
      </c>
      <c r="L112" s="3">
        <v>0</v>
      </c>
      <c r="M112" s="3">
        <v>0</v>
      </c>
    </row>
    <row r="113" spans="1:13">
      <c r="A113" t="s">
        <v>16</v>
      </c>
      <c r="C113" s="3">
        <f>C112/C111</f>
        <v>0</v>
      </c>
      <c r="D113" s="3">
        <f>D112/D111</f>
        <v>0</v>
      </c>
      <c r="E113" s="3">
        <f>E112/E111</f>
        <v>0</v>
      </c>
      <c r="G113" s="3">
        <f>G112/G111</f>
        <v>0</v>
      </c>
      <c r="H113" s="3">
        <f>H112/H111</f>
        <v>0</v>
      </c>
      <c r="I113" s="3">
        <f>I112/I111</f>
        <v>0</v>
      </c>
      <c r="K113" s="3">
        <f>K112/K111</f>
        <v>0</v>
      </c>
      <c r="L113" s="3">
        <f>L112/L111</f>
        <v>0</v>
      </c>
      <c r="M113" s="3">
        <f>M112/M111</f>
        <v>0</v>
      </c>
    </row>
    <row r="114" spans="1:13">
      <c r="A114" t="s">
        <v>17</v>
      </c>
      <c r="C114" s="3">
        <v>0</v>
      </c>
      <c r="D114" s="3">
        <v>0</v>
      </c>
      <c r="E114" s="3">
        <v>0</v>
      </c>
      <c r="G114" s="3">
        <v>0</v>
      </c>
      <c r="H114" s="3">
        <v>0</v>
      </c>
      <c r="I114" s="3">
        <v>0</v>
      </c>
      <c r="K114" s="3">
        <v>0</v>
      </c>
      <c r="L114" s="3">
        <v>0</v>
      </c>
      <c r="M114" s="3">
        <v>0</v>
      </c>
    </row>
    <row r="115" spans="1:13">
      <c r="A115" t="s">
        <v>18</v>
      </c>
      <c r="C115" s="3">
        <v>0</v>
      </c>
      <c r="D115" s="3">
        <v>0</v>
      </c>
      <c r="E115" s="3">
        <v>0</v>
      </c>
      <c r="G115" s="3">
        <v>0</v>
      </c>
      <c r="H115" s="3">
        <v>0</v>
      </c>
      <c r="I115" s="3">
        <v>0</v>
      </c>
      <c r="K115" s="3">
        <v>0</v>
      </c>
      <c r="L115" s="3">
        <v>0</v>
      </c>
      <c r="M115" s="3">
        <v>0</v>
      </c>
    </row>
    <row r="116" spans="1:13">
      <c r="A116" t="s">
        <v>19</v>
      </c>
      <c r="C116" s="3">
        <f>C112*C115*C114-C114</f>
        <v>0</v>
      </c>
      <c r="D116" s="3">
        <f>D112*D115*D114-D114</f>
        <v>0</v>
      </c>
      <c r="E116" s="3">
        <f>E112*E115*E114-E114</f>
        <v>0</v>
      </c>
      <c r="G116" s="3">
        <f>G112*G115*G114-G114</f>
        <v>0</v>
      </c>
      <c r="H116" s="3">
        <f>H112*H115*H114-H114</f>
        <v>0</v>
      </c>
      <c r="I116" s="3">
        <f>I112*I115*I114-I114</f>
        <v>0</v>
      </c>
      <c r="K116" s="3">
        <f>K112*K115*K114-K114</f>
        <v>0</v>
      </c>
      <c r="L116" s="3">
        <f>L112*L115*L114-L114</f>
        <v>0</v>
      </c>
      <c r="M116" s="3">
        <f>M112*M115*M114-M114</f>
        <v>0</v>
      </c>
    </row>
    <row r="118" spans="1:13">
      <c r="A118" s="1" t="s">
        <v>33</v>
      </c>
      <c r="C118" s="1" t="s">
        <v>1</v>
      </c>
      <c r="E118" s="1">
        <f>0+C125+D125+E125 + E109</f>
        <v>0</v>
      </c>
      <c r="G118" s="1" t="s">
        <v>2</v>
      </c>
      <c r="I118" s="1">
        <f>0+G125+H125+I125 + I109</f>
        <v>0</v>
      </c>
      <c r="K118" s="1" t="s">
        <v>3</v>
      </c>
      <c r="M118" s="1">
        <f>0+K125+L125+M125 + M109</f>
        <v>0</v>
      </c>
    </row>
    <row r="119" spans="1:13">
      <c r="A119" t="s">
        <v>34</v>
      </c>
      <c r="C119" s="2" t="s">
        <v>5</v>
      </c>
      <c r="D119" s="2" t="s">
        <v>6</v>
      </c>
      <c r="E119" s="2" t="s">
        <v>7</v>
      </c>
      <c r="G119" s="2" t="s">
        <v>8</v>
      </c>
      <c r="H119" s="2" t="s">
        <v>9</v>
      </c>
      <c r="I119" s="2" t="s">
        <v>10</v>
      </c>
      <c r="K119" s="2" t="s">
        <v>11</v>
      </c>
      <c r="L119" s="2" t="s">
        <v>12</v>
      </c>
      <c r="M119" s="2" t="s">
        <v>13</v>
      </c>
    </row>
    <row r="120" spans="1:13">
      <c r="A120" t="s">
        <v>14</v>
      </c>
      <c r="C120" s="3">
        <v>18.835999999999999</v>
      </c>
      <c r="D120" s="3">
        <v>5.4790000000000001</v>
      </c>
      <c r="E120" s="3">
        <v>1.3080000000000001</v>
      </c>
      <c r="G120" s="3">
        <v>1.7190000000000001</v>
      </c>
      <c r="H120" s="3">
        <v>8.7509999999999994</v>
      </c>
      <c r="I120" s="3">
        <v>3.2869999999999999</v>
      </c>
      <c r="K120" s="3">
        <v>1.7649999999999999</v>
      </c>
      <c r="L120" s="3">
        <v>4.1130000000000004</v>
      </c>
      <c r="M120" s="3">
        <v>5.2469999999999999</v>
      </c>
    </row>
    <row r="121" spans="1:13">
      <c r="A121" t="s">
        <v>15</v>
      </c>
      <c r="C121" s="3">
        <v>0</v>
      </c>
      <c r="D121" s="3">
        <v>0</v>
      </c>
      <c r="E121" s="3">
        <v>0</v>
      </c>
      <c r="G121" s="3">
        <v>0</v>
      </c>
      <c r="H121" s="3">
        <v>0</v>
      </c>
      <c r="I121" s="3">
        <v>0</v>
      </c>
      <c r="K121" s="3">
        <v>0</v>
      </c>
      <c r="L121" s="3">
        <v>0</v>
      </c>
      <c r="M121" s="3">
        <v>0</v>
      </c>
    </row>
    <row r="122" spans="1:13">
      <c r="A122" t="s">
        <v>16</v>
      </c>
      <c r="C122" s="3">
        <f>C121/C120</f>
        <v>0</v>
      </c>
      <c r="D122" s="3">
        <f>D121/D120</f>
        <v>0</v>
      </c>
      <c r="E122" s="3">
        <f>E121/E120</f>
        <v>0</v>
      </c>
      <c r="G122" s="3">
        <f>G121/G120</f>
        <v>0</v>
      </c>
      <c r="H122" s="3">
        <f>H121/H120</f>
        <v>0</v>
      </c>
      <c r="I122" s="3">
        <f>I121/I120</f>
        <v>0</v>
      </c>
      <c r="K122" s="3">
        <f>K121/K120</f>
        <v>0</v>
      </c>
      <c r="L122" s="3">
        <f>L121/L120</f>
        <v>0</v>
      </c>
      <c r="M122" s="3">
        <f>M121/M120</f>
        <v>0</v>
      </c>
    </row>
    <row r="123" spans="1:13">
      <c r="A123" t="s">
        <v>17</v>
      </c>
      <c r="C123" s="3">
        <v>0</v>
      </c>
      <c r="D123" s="3">
        <v>0</v>
      </c>
      <c r="E123" s="3">
        <v>0</v>
      </c>
      <c r="G123" s="3">
        <v>0</v>
      </c>
      <c r="H123" s="3">
        <v>0</v>
      </c>
      <c r="I123" s="3">
        <v>0</v>
      </c>
      <c r="K123" s="3">
        <v>0</v>
      </c>
      <c r="L123" s="3">
        <v>0</v>
      </c>
      <c r="M123" s="3">
        <v>0</v>
      </c>
    </row>
    <row r="124" spans="1:13">
      <c r="A124" t="s">
        <v>18</v>
      </c>
      <c r="C124" s="3">
        <v>0</v>
      </c>
      <c r="D124" s="3">
        <v>0</v>
      </c>
      <c r="E124" s="3">
        <v>0</v>
      </c>
      <c r="G124" s="3">
        <v>0</v>
      </c>
      <c r="H124" s="3">
        <v>0</v>
      </c>
      <c r="I124" s="3">
        <v>0</v>
      </c>
      <c r="K124" s="3">
        <v>0</v>
      </c>
      <c r="L124" s="3">
        <v>0</v>
      </c>
      <c r="M124" s="3">
        <v>0</v>
      </c>
    </row>
    <row r="125" spans="1:13">
      <c r="A125" t="s">
        <v>19</v>
      </c>
      <c r="C125" s="3">
        <f>C121*C124*C123-C123</f>
        <v>0</v>
      </c>
      <c r="D125" s="3">
        <f>D121*D124*D123-D123</f>
        <v>0</v>
      </c>
      <c r="E125" s="3">
        <f>E121*E124*E123-E123</f>
        <v>0</v>
      </c>
      <c r="G125" s="3">
        <f>G121*G124*G123-G123</f>
        <v>0</v>
      </c>
      <c r="H125" s="3">
        <f>H121*H124*H123-H123</f>
        <v>0</v>
      </c>
      <c r="I125" s="3">
        <f>I121*I124*I123-I123</f>
        <v>0</v>
      </c>
      <c r="K125" s="3">
        <f>K121*K124*K123-K123</f>
        <v>0</v>
      </c>
      <c r="L125" s="3">
        <f>L121*L124*L123-L123</f>
        <v>0</v>
      </c>
      <c r="M125" s="3">
        <f>M121*M124*M123-M123</f>
        <v>0</v>
      </c>
    </row>
    <row r="127" spans="1:13">
      <c r="A127" s="1" t="s">
        <v>33</v>
      </c>
      <c r="C127" s="1" t="s">
        <v>1</v>
      </c>
      <c r="E127" s="1">
        <f>0+C134+D134+E134 + E118</f>
        <v>0</v>
      </c>
      <c r="G127" s="1" t="s">
        <v>2</v>
      </c>
      <c r="I127" s="1">
        <f>0+G134+H134+I134 + I118</f>
        <v>0</v>
      </c>
      <c r="K127" s="1" t="s">
        <v>3</v>
      </c>
      <c r="M127" s="1">
        <f>0+K134+L134+M134 + M118</f>
        <v>0</v>
      </c>
    </row>
    <row r="128" spans="1:13">
      <c r="A128" t="s">
        <v>35</v>
      </c>
      <c r="C128" s="2" t="s">
        <v>5</v>
      </c>
      <c r="D128" s="2" t="s">
        <v>6</v>
      </c>
      <c r="E128" s="2" t="s">
        <v>7</v>
      </c>
      <c r="G128" s="2" t="s">
        <v>8</v>
      </c>
      <c r="H128" s="2" t="s">
        <v>9</v>
      </c>
      <c r="I128" s="2" t="s">
        <v>10</v>
      </c>
      <c r="K128" s="2" t="s">
        <v>11</v>
      </c>
      <c r="L128" s="2" t="s">
        <v>12</v>
      </c>
      <c r="M128" s="2" t="s">
        <v>13</v>
      </c>
    </row>
    <row r="129" spans="1:13">
      <c r="A129" t="s">
        <v>14</v>
      </c>
      <c r="C129" s="3">
        <v>3.5449999999999999</v>
      </c>
      <c r="D129" s="3">
        <v>1.4339999999999999</v>
      </c>
      <c r="E129" s="3">
        <v>47.99</v>
      </c>
      <c r="G129" s="3">
        <v>3.8740000000000001</v>
      </c>
      <c r="H129" s="3">
        <v>2.133</v>
      </c>
      <c r="I129" s="3">
        <v>3.66</v>
      </c>
      <c r="K129" s="3">
        <v>1.143</v>
      </c>
      <c r="L129" s="3">
        <v>14.484999999999999</v>
      </c>
      <c r="M129" s="3">
        <v>17.766999999999999</v>
      </c>
    </row>
    <row r="130" spans="1:13">
      <c r="A130" t="s">
        <v>15</v>
      </c>
      <c r="C130" s="3">
        <v>0</v>
      </c>
      <c r="D130" s="3">
        <v>0</v>
      </c>
      <c r="E130" s="3">
        <v>0</v>
      </c>
      <c r="G130" s="3">
        <v>0</v>
      </c>
      <c r="H130" s="3">
        <v>0</v>
      </c>
      <c r="I130" s="3">
        <v>0</v>
      </c>
      <c r="K130" s="3">
        <v>0</v>
      </c>
      <c r="L130" s="3">
        <v>0</v>
      </c>
      <c r="M130" s="3">
        <v>0</v>
      </c>
    </row>
    <row r="131" spans="1:13">
      <c r="A131" t="s">
        <v>16</v>
      </c>
      <c r="C131" s="3">
        <f>C130/C129</f>
        <v>0</v>
      </c>
      <c r="D131" s="3">
        <f>D130/D129</f>
        <v>0</v>
      </c>
      <c r="E131" s="3">
        <f>E130/E129</f>
        <v>0</v>
      </c>
      <c r="G131" s="3">
        <f>G130/G129</f>
        <v>0</v>
      </c>
      <c r="H131" s="3">
        <f>H130/H129</f>
        <v>0</v>
      </c>
      <c r="I131" s="3">
        <f>I130/I129</f>
        <v>0</v>
      </c>
      <c r="K131" s="3">
        <f>K130/K129</f>
        <v>0</v>
      </c>
      <c r="L131" s="3">
        <f>L130/L129</f>
        <v>0</v>
      </c>
      <c r="M131" s="3">
        <f>M130/M129</f>
        <v>0</v>
      </c>
    </row>
    <row r="132" spans="1:13">
      <c r="A132" t="s">
        <v>17</v>
      </c>
      <c r="C132" s="3">
        <v>0</v>
      </c>
      <c r="D132" s="3">
        <v>0</v>
      </c>
      <c r="E132" s="3">
        <v>0</v>
      </c>
      <c r="G132" s="3">
        <v>0</v>
      </c>
      <c r="H132" s="3">
        <v>0</v>
      </c>
      <c r="I132" s="3">
        <v>0</v>
      </c>
      <c r="K132" s="3">
        <v>0</v>
      </c>
      <c r="L132" s="3">
        <v>0</v>
      </c>
      <c r="M132" s="3">
        <v>0</v>
      </c>
    </row>
    <row r="133" spans="1:13">
      <c r="A133" t="s">
        <v>18</v>
      </c>
      <c r="C133" s="3">
        <v>0</v>
      </c>
      <c r="D133" s="3">
        <v>0</v>
      </c>
      <c r="E133" s="3">
        <v>0</v>
      </c>
      <c r="G133" s="3">
        <v>0</v>
      </c>
      <c r="H133" s="3">
        <v>0</v>
      </c>
      <c r="I133" s="3">
        <v>0</v>
      </c>
      <c r="K133" s="3">
        <v>0</v>
      </c>
      <c r="L133" s="3">
        <v>0</v>
      </c>
      <c r="M133" s="3">
        <v>0</v>
      </c>
    </row>
    <row r="134" spans="1:13">
      <c r="A134" t="s">
        <v>19</v>
      </c>
      <c r="C134" s="3">
        <f>C130*C133*C132-C132</f>
        <v>0</v>
      </c>
      <c r="D134" s="3">
        <f>D130*D133*D132-D132</f>
        <v>0</v>
      </c>
      <c r="E134" s="3">
        <f>E130*E133*E132-E132</f>
        <v>0</v>
      </c>
      <c r="G134" s="3">
        <f>G130*G133*G132-G132</f>
        <v>0</v>
      </c>
      <c r="H134" s="3">
        <f>H130*H133*H132-H132</f>
        <v>0</v>
      </c>
      <c r="I134" s="3">
        <f>I130*I133*I132-I132</f>
        <v>0</v>
      </c>
      <c r="K134" s="3">
        <f>K130*K133*K132-K132</f>
        <v>0</v>
      </c>
      <c r="L134" s="3">
        <f>L130*L133*L132-L132</f>
        <v>0</v>
      </c>
      <c r="M134" s="3">
        <f>M130*M133*M132-M132</f>
        <v>0</v>
      </c>
    </row>
    <row r="136" spans="1:13">
      <c r="A136" s="1" t="s">
        <v>33</v>
      </c>
      <c r="C136" s="1" t="s">
        <v>1</v>
      </c>
      <c r="E136" s="1">
        <f>0+C143+D143+E143 + E127</f>
        <v>0</v>
      </c>
      <c r="G136" s="1" t="s">
        <v>2</v>
      </c>
      <c r="I136" s="1">
        <f>0+G143+H143+I143 + I127</f>
        <v>0</v>
      </c>
      <c r="K136" s="1" t="s">
        <v>3</v>
      </c>
      <c r="M136" s="1">
        <f>0+K143+L143+M143 + M127</f>
        <v>0</v>
      </c>
    </row>
    <row r="137" spans="1:13">
      <c r="A137" t="s">
        <v>36</v>
      </c>
      <c r="C137" s="2" t="s">
        <v>5</v>
      </c>
      <c r="D137" s="2" t="s">
        <v>6</v>
      </c>
      <c r="E137" s="2" t="s">
        <v>7</v>
      </c>
      <c r="G137" s="2" t="s">
        <v>8</v>
      </c>
      <c r="H137" s="2" t="s">
        <v>9</v>
      </c>
      <c r="I137" s="2" t="s">
        <v>10</v>
      </c>
      <c r="K137" s="2" t="s">
        <v>11</v>
      </c>
      <c r="L137" s="2" t="s">
        <v>12</v>
      </c>
      <c r="M137" s="2" t="s">
        <v>13</v>
      </c>
    </row>
    <row r="138" spans="1:13">
      <c r="A138" t="s">
        <v>14</v>
      </c>
      <c r="C138" s="3">
        <v>3.0230000000000001</v>
      </c>
      <c r="D138" s="3">
        <v>13.492000000000001</v>
      </c>
      <c r="E138" s="3">
        <v>1.68</v>
      </c>
      <c r="G138" s="3">
        <v>3.2160000000000002</v>
      </c>
      <c r="H138" s="3">
        <v>2.0710000000000002</v>
      </c>
      <c r="I138" s="3">
        <v>4.8490000000000002</v>
      </c>
      <c r="K138" s="3">
        <v>4.8179999999999996</v>
      </c>
      <c r="L138" s="3">
        <v>5.7889999999999997</v>
      </c>
      <c r="M138" s="3">
        <v>1.613</v>
      </c>
    </row>
    <row r="139" spans="1:13">
      <c r="A139" t="s">
        <v>15</v>
      </c>
      <c r="C139" s="3">
        <v>0</v>
      </c>
      <c r="D139" s="3">
        <v>0</v>
      </c>
      <c r="E139" s="3">
        <v>0</v>
      </c>
      <c r="G139" s="3">
        <v>0</v>
      </c>
      <c r="H139" s="3">
        <v>0</v>
      </c>
      <c r="I139" s="3">
        <v>0</v>
      </c>
      <c r="K139" s="3">
        <v>0</v>
      </c>
      <c r="L139" s="3">
        <v>0</v>
      </c>
      <c r="M139" s="3">
        <v>0</v>
      </c>
    </row>
    <row r="140" spans="1:13">
      <c r="A140" t="s">
        <v>16</v>
      </c>
      <c r="C140" s="3">
        <f>C139/C138</f>
        <v>0</v>
      </c>
      <c r="D140" s="3">
        <f>D139/D138</f>
        <v>0</v>
      </c>
      <c r="E140" s="3">
        <f>E139/E138</f>
        <v>0</v>
      </c>
      <c r="G140" s="3">
        <f>G139/G138</f>
        <v>0</v>
      </c>
      <c r="H140" s="3">
        <f>H139/H138</f>
        <v>0</v>
      </c>
      <c r="I140" s="3">
        <f>I139/I138</f>
        <v>0</v>
      </c>
      <c r="K140" s="3">
        <f>K139/K138</f>
        <v>0</v>
      </c>
      <c r="L140" s="3">
        <f>L139/L138</f>
        <v>0</v>
      </c>
      <c r="M140" s="3">
        <f>M139/M138</f>
        <v>0</v>
      </c>
    </row>
    <row r="141" spans="1:13">
      <c r="A141" t="s">
        <v>17</v>
      </c>
      <c r="C141" s="3">
        <v>0</v>
      </c>
      <c r="D141" s="3">
        <v>0</v>
      </c>
      <c r="E141" s="3">
        <v>0</v>
      </c>
      <c r="G141" s="3">
        <v>0</v>
      </c>
      <c r="H141" s="3">
        <v>0</v>
      </c>
      <c r="I141" s="3">
        <v>0</v>
      </c>
      <c r="K141" s="3">
        <v>0</v>
      </c>
      <c r="L141" s="3">
        <v>0</v>
      </c>
      <c r="M141" s="3">
        <v>0</v>
      </c>
    </row>
    <row r="142" spans="1:13">
      <c r="A142" t="s">
        <v>18</v>
      </c>
      <c r="C142" s="3">
        <v>0</v>
      </c>
      <c r="D142" s="3">
        <v>0</v>
      </c>
      <c r="E142" s="3">
        <v>0</v>
      </c>
      <c r="G142" s="3">
        <v>0</v>
      </c>
      <c r="H142" s="3">
        <v>0</v>
      </c>
      <c r="I142" s="3">
        <v>0</v>
      </c>
      <c r="K142" s="3">
        <v>0</v>
      </c>
      <c r="L142" s="3">
        <v>0</v>
      </c>
      <c r="M142" s="3">
        <v>0</v>
      </c>
    </row>
    <row r="143" spans="1:13">
      <c r="A143" t="s">
        <v>19</v>
      </c>
      <c r="C143" s="3">
        <f>C139*C142*C141-C141</f>
        <v>0</v>
      </c>
      <c r="D143" s="3">
        <f>D139*D142*D141-D141</f>
        <v>0</v>
      </c>
      <c r="E143" s="3">
        <f>E139*E142*E141-E141</f>
        <v>0</v>
      </c>
      <c r="G143" s="3">
        <f>G139*G142*G141-G141</f>
        <v>0</v>
      </c>
      <c r="H143" s="3">
        <f>H139*H142*H141-H141</f>
        <v>0</v>
      </c>
      <c r="I143" s="3">
        <f>I139*I142*I141-I141</f>
        <v>0</v>
      </c>
      <c r="K143" s="3">
        <f>K139*K142*K141-K141</f>
        <v>0</v>
      </c>
      <c r="L143" s="3">
        <f>L139*L142*L141-L141</f>
        <v>0</v>
      </c>
      <c r="M143" s="3">
        <f>M139*M142*M141-M141</f>
        <v>0</v>
      </c>
    </row>
    <row r="145" spans="1:13">
      <c r="A145" s="1" t="s">
        <v>33</v>
      </c>
      <c r="C145" s="1" t="s">
        <v>1</v>
      </c>
      <c r="E145" s="1">
        <f>0+C152+D152+E152 + E136</f>
        <v>0</v>
      </c>
      <c r="G145" s="1" t="s">
        <v>2</v>
      </c>
      <c r="I145" s="1">
        <f>0+G152+H152+I152 + I136</f>
        <v>0</v>
      </c>
      <c r="K145" s="1" t="s">
        <v>3</v>
      </c>
      <c r="M145" s="1">
        <f>0+K152+L152+M152 + M136</f>
        <v>0</v>
      </c>
    </row>
    <row r="146" spans="1:13">
      <c r="A146" t="s">
        <v>37</v>
      </c>
      <c r="C146" s="2" t="s">
        <v>5</v>
      </c>
      <c r="D146" s="2" t="s">
        <v>6</v>
      </c>
      <c r="E146" s="2" t="s">
        <v>7</v>
      </c>
      <c r="G146" s="2" t="s">
        <v>8</v>
      </c>
      <c r="H146" s="2" t="s">
        <v>9</v>
      </c>
      <c r="I146" s="2" t="s">
        <v>10</v>
      </c>
      <c r="K146" s="2" t="s">
        <v>11</v>
      </c>
      <c r="L146" s="2" t="s">
        <v>12</v>
      </c>
      <c r="M146" s="2" t="s">
        <v>13</v>
      </c>
    </row>
    <row r="147" spans="1:13">
      <c r="A147" t="s">
        <v>14</v>
      </c>
      <c r="C147" s="3">
        <v>10.385</v>
      </c>
      <c r="D147" s="3">
        <v>4.0730000000000004</v>
      </c>
      <c r="E147" s="3">
        <v>1.5189999999999999</v>
      </c>
      <c r="G147" s="3">
        <v>20.3</v>
      </c>
      <c r="H147" s="3">
        <v>2.4620000000000002</v>
      </c>
      <c r="I147" s="3">
        <v>1.835</v>
      </c>
      <c r="K147" s="3">
        <v>6.2759999999999998</v>
      </c>
      <c r="L147" s="3">
        <v>2.661</v>
      </c>
      <c r="M147" s="3">
        <v>2.1509999999999998</v>
      </c>
    </row>
    <row r="148" spans="1:13">
      <c r="A148" t="s">
        <v>15</v>
      </c>
      <c r="C148" s="3">
        <v>0</v>
      </c>
      <c r="D148" s="3">
        <v>0</v>
      </c>
      <c r="E148" s="3">
        <v>0</v>
      </c>
      <c r="G148" s="3">
        <v>0</v>
      </c>
      <c r="H148" s="3">
        <v>0</v>
      </c>
      <c r="I148" s="3">
        <v>0</v>
      </c>
      <c r="K148" s="3">
        <v>0</v>
      </c>
      <c r="L148" s="3">
        <v>0</v>
      </c>
      <c r="M148" s="3">
        <v>0</v>
      </c>
    </row>
    <row r="149" spans="1:13">
      <c r="A149" t="s">
        <v>16</v>
      </c>
      <c r="C149" s="3">
        <f>C148/C147</f>
        <v>0</v>
      </c>
      <c r="D149" s="3">
        <f>D148/D147</f>
        <v>0</v>
      </c>
      <c r="E149" s="3">
        <f>E148/E147</f>
        <v>0</v>
      </c>
      <c r="G149" s="3">
        <f>G148/G147</f>
        <v>0</v>
      </c>
      <c r="H149" s="3">
        <f>H148/H147</f>
        <v>0</v>
      </c>
      <c r="I149" s="3">
        <f>I148/I147</f>
        <v>0</v>
      </c>
      <c r="K149" s="3">
        <f>K148/K147</f>
        <v>0</v>
      </c>
      <c r="L149" s="3">
        <f>L148/L147</f>
        <v>0</v>
      </c>
      <c r="M149" s="3">
        <f>M148/M147</f>
        <v>0</v>
      </c>
    </row>
    <row r="150" spans="1:13">
      <c r="A150" t="s">
        <v>17</v>
      </c>
      <c r="C150" s="3">
        <v>0</v>
      </c>
      <c r="D150" s="3">
        <v>0</v>
      </c>
      <c r="E150" s="3">
        <v>0</v>
      </c>
      <c r="G150" s="3">
        <v>0</v>
      </c>
      <c r="H150" s="3">
        <v>0</v>
      </c>
      <c r="I150" s="3">
        <v>0</v>
      </c>
      <c r="K150" s="3">
        <v>0</v>
      </c>
      <c r="L150" s="3">
        <v>0</v>
      </c>
      <c r="M150" s="3">
        <v>0</v>
      </c>
    </row>
    <row r="151" spans="1:13">
      <c r="A151" t="s">
        <v>18</v>
      </c>
      <c r="C151" s="3">
        <v>0</v>
      </c>
      <c r="D151" s="3">
        <v>0</v>
      </c>
      <c r="E151" s="3">
        <v>0</v>
      </c>
      <c r="G151" s="3">
        <v>0</v>
      </c>
      <c r="H151" s="3">
        <v>0</v>
      </c>
      <c r="I151" s="3">
        <v>0</v>
      </c>
      <c r="K151" s="3">
        <v>0</v>
      </c>
      <c r="L151" s="3">
        <v>0</v>
      </c>
      <c r="M151" s="3">
        <v>0</v>
      </c>
    </row>
    <row r="152" spans="1:13">
      <c r="A152" t="s">
        <v>19</v>
      </c>
      <c r="C152" s="3">
        <f>C148*C151*C150-C150</f>
        <v>0</v>
      </c>
      <c r="D152" s="3">
        <f>D148*D151*D150-D150</f>
        <v>0</v>
      </c>
      <c r="E152" s="3">
        <f>E148*E151*E150-E150</f>
        <v>0</v>
      </c>
      <c r="G152" s="3">
        <f>G148*G151*G150-G150</f>
        <v>0</v>
      </c>
      <c r="H152" s="3">
        <f>H148*H151*H150-H150</f>
        <v>0</v>
      </c>
      <c r="I152" s="3">
        <f>I148*I151*I150-I150</f>
        <v>0</v>
      </c>
      <c r="K152" s="3">
        <f>K148*K151*K150-K150</f>
        <v>0</v>
      </c>
      <c r="L152" s="3">
        <f>L148*L151*L150-L150</f>
        <v>0</v>
      </c>
      <c r="M152" s="3">
        <f>M148*M151*M150-M150</f>
        <v>0</v>
      </c>
    </row>
    <row r="154" spans="1:13">
      <c r="A154" s="1" t="s">
        <v>33</v>
      </c>
      <c r="C154" s="1" t="s">
        <v>1</v>
      </c>
      <c r="E154" s="1">
        <f>0+C161+D161+E161 + E145</f>
        <v>0</v>
      </c>
      <c r="G154" s="1" t="s">
        <v>2</v>
      </c>
      <c r="I154" s="1">
        <f>0+G161+H161+I161 + I145</f>
        <v>0</v>
      </c>
      <c r="K154" s="1" t="s">
        <v>3</v>
      </c>
      <c r="M154" s="1">
        <f>0+K161+L161+M161 + M145</f>
        <v>0</v>
      </c>
    </row>
    <row r="155" spans="1:13">
      <c r="A155" t="s">
        <v>38</v>
      </c>
      <c r="C155" s="2" t="s">
        <v>5</v>
      </c>
      <c r="D155" s="2" t="s">
        <v>6</v>
      </c>
      <c r="E155" s="2" t="s">
        <v>7</v>
      </c>
      <c r="G155" s="2" t="s">
        <v>8</v>
      </c>
      <c r="H155" s="2" t="s">
        <v>9</v>
      </c>
      <c r="I155" s="2" t="s">
        <v>10</v>
      </c>
      <c r="K155" s="2" t="s">
        <v>11</v>
      </c>
      <c r="L155" s="2" t="s">
        <v>12</v>
      </c>
      <c r="M155" s="2" t="s">
        <v>13</v>
      </c>
    </row>
    <row r="156" spans="1:13">
      <c r="A156" t="s">
        <v>14</v>
      </c>
      <c r="C156" s="3">
        <v>1.407</v>
      </c>
      <c r="D156" s="3">
        <v>68.980999999999995</v>
      </c>
      <c r="E156" s="3">
        <v>3.6339999999999999</v>
      </c>
      <c r="G156" s="3">
        <v>1.4750000000000001</v>
      </c>
      <c r="H156" s="3">
        <v>6.3049999999999997</v>
      </c>
      <c r="I156" s="3">
        <v>6.1070000000000002</v>
      </c>
      <c r="K156" s="3">
        <v>1.88</v>
      </c>
      <c r="L156" s="3">
        <v>4.0469999999999997</v>
      </c>
      <c r="M156" s="3">
        <v>4.5190000000000001</v>
      </c>
    </row>
    <row r="157" spans="1:13">
      <c r="A157" t="s">
        <v>15</v>
      </c>
      <c r="C157" s="3">
        <v>0</v>
      </c>
      <c r="D157" s="3">
        <v>0</v>
      </c>
      <c r="E157" s="3">
        <v>0</v>
      </c>
      <c r="G157" s="3">
        <v>0</v>
      </c>
      <c r="H157" s="3">
        <v>0</v>
      </c>
      <c r="I157" s="3">
        <v>0</v>
      </c>
      <c r="K157" s="3">
        <v>0</v>
      </c>
      <c r="L157" s="3">
        <v>0</v>
      </c>
      <c r="M157" s="3">
        <v>0</v>
      </c>
    </row>
    <row r="158" spans="1:13">
      <c r="A158" t="s">
        <v>16</v>
      </c>
      <c r="C158" s="3">
        <f>C157/C156</f>
        <v>0</v>
      </c>
      <c r="D158" s="3">
        <f>D157/D156</f>
        <v>0</v>
      </c>
      <c r="E158" s="3">
        <f>E157/E156</f>
        <v>0</v>
      </c>
      <c r="G158" s="3">
        <f>G157/G156</f>
        <v>0</v>
      </c>
      <c r="H158" s="3">
        <f>H157/H156</f>
        <v>0</v>
      </c>
      <c r="I158" s="3">
        <f>I157/I156</f>
        <v>0</v>
      </c>
      <c r="K158" s="3">
        <f>K157/K156</f>
        <v>0</v>
      </c>
      <c r="L158" s="3">
        <f>L157/L156</f>
        <v>0</v>
      </c>
      <c r="M158" s="3">
        <f>M157/M156</f>
        <v>0</v>
      </c>
    </row>
    <row r="159" spans="1:13">
      <c r="A159" t="s">
        <v>17</v>
      </c>
      <c r="C159" s="3">
        <v>0</v>
      </c>
      <c r="D159" s="3">
        <v>0</v>
      </c>
      <c r="E159" s="3">
        <v>0</v>
      </c>
      <c r="G159" s="3">
        <v>0</v>
      </c>
      <c r="H159" s="3">
        <v>0</v>
      </c>
      <c r="I159" s="3">
        <v>0</v>
      </c>
      <c r="K159" s="3">
        <v>0</v>
      </c>
      <c r="L159" s="3">
        <v>0</v>
      </c>
      <c r="M159" s="3">
        <v>0</v>
      </c>
    </row>
    <row r="160" spans="1:13">
      <c r="A160" t="s">
        <v>18</v>
      </c>
      <c r="C160" s="3">
        <v>0</v>
      </c>
      <c r="D160" s="3">
        <v>0</v>
      </c>
      <c r="E160" s="3">
        <v>0</v>
      </c>
      <c r="G160" s="3">
        <v>0</v>
      </c>
      <c r="H160" s="3">
        <v>0</v>
      </c>
      <c r="I160" s="3">
        <v>0</v>
      </c>
      <c r="K160" s="3">
        <v>0</v>
      </c>
      <c r="L160" s="3">
        <v>0</v>
      </c>
      <c r="M160" s="3">
        <v>0</v>
      </c>
    </row>
    <row r="161" spans="1:13">
      <c r="A161" t="s">
        <v>19</v>
      </c>
      <c r="C161" s="3">
        <f>C157*C160*C159-C159</f>
        <v>0</v>
      </c>
      <c r="D161" s="3">
        <f>D157*D160*D159-D159</f>
        <v>0</v>
      </c>
      <c r="E161" s="3">
        <f>E157*E160*E159-E159</f>
        <v>0</v>
      </c>
      <c r="G161" s="3">
        <f>G157*G160*G159-G159</f>
        <v>0</v>
      </c>
      <c r="H161" s="3">
        <f>H157*H160*H159-H159</f>
        <v>0</v>
      </c>
      <c r="I161" s="3">
        <f>I157*I160*I159-I159</f>
        <v>0</v>
      </c>
      <c r="K161" s="3">
        <f>K157*K160*K159-K159</f>
        <v>0</v>
      </c>
      <c r="L161" s="3">
        <f>L157*L160*L159-L159</f>
        <v>0</v>
      </c>
      <c r="M161" s="3">
        <f>M157*M160*M159-M159</f>
        <v>0</v>
      </c>
    </row>
    <row r="163" spans="1:13">
      <c r="A163" s="1" t="s">
        <v>33</v>
      </c>
      <c r="C163" s="1" t="s">
        <v>1</v>
      </c>
      <c r="E163" s="1">
        <f>0+C170+D170+E170 + E154</f>
        <v>0</v>
      </c>
      <c r="G163" s="1" t="s">
        <v>2</v>
      </c>
      <c r="I163" s="1">
        <f>0+G170+H170+I170 + I154</f>
        <v>0</v>
      </c>
      <c r="K163" s="1" t="s">
        <v>3</v>
      </c>
      <c r="M163" s="1">
        <f>0+K170+L170+M170 + M154</f>
        <v>0</v>
      </c>
    </row>
    <row r="164" spans="1:13">
      <c r="A164" t="s">
        <v>39</v>
      </c>
      <c r="C164" s="2" t="s">
        <v>5</v>
      </c>
      <c r="D164" s="2" t="s">
        <v>6</v>
      </c>
      <c r="E164" s="2" t="s">
        <v>7</v>
      </c>
      <c r="G164" s="2" t="s">
        <v>8</v>
      </c>
      <c r="H164" s="2" t="s">
        <v>9</v>
      </c>
      <c r="I164" s="2" t="s">
        <v>10</v>
      </c>
      <c r="K164" s="2" t="s">
        <v>11</v>
      </c>
      <c r="L164" s="2" t="s">
        <v>12</v>
      </c>
      <c r="M164" s="2" t="s">
        <v>13</v>
      </c>
    </row>
    <row r="165" spans="1:13">
      <c r="A165" t="s">
        <v>14</v>
      </c>
      <c r="C165" s="3">
        <v>1.766</v>
      </c>
      <c r="D165" s="3">
        <v>4.21</v>
      </c>
      <c r="E165" s="3">
        <v>5.0940000000000003</v>
      </c>
      <c r="G165" s="3">
        <v>6.0439999999999996</v>
      </c>
      <c r="H165" s="3">
        <v>2.0169999999999999</v>
      </c>
      <c r="I165" s="3">
        <v>2.9510000000000001</v>
      </c>
      <c r="K165" s="3">
        <v>1.635</v>
      </c>
      <c r="L165" s="3">
        <v>6.968</v>
      </c>
      <c r="M165" s="3">
        <v>4.077</v>
      </c>
    </row>
    <row r="166" spans="1:13">
      <c r="A166" t="s">
        <v>15</v>
      </c>
      <c r="C166" s="3">
        <v>0</v>
      </c>
      <c r="D166" s="3">
        <v>0</v>
      </c>
      <c r="E166" s="3">
        <v>0</v>
      </c>
      <c r="G166" s="3">
        <v>0</v>
      </c>
      <c r="H166" s="3">
        <v>0</v>
      </c>
      <c r="I166" s="3">
        <v>0</v>
      </c>
      <c r="K166" s="3">
        <v>0</v>
      </c>
      <c r="L166" s="3">
        <v>0</v>
      </c>
      <c r="M166" s="3">
        <v>0</v>
      </c>
    </row>
    <row r="167" spans="1:13">
      <c r="A167" t="s">
        <v>16</v>
      </c>
      <c r="C167" s="3">
        <f>C166/C165</f>
        <v>0</v>
      </c>
      <c r="D167" s="3">
        <f>D166/D165</f>
        <v>0</v>
      </c>
      <c r="E167" s="3">
        <f>E166/E165</f>
        <v>0</v>
      </c>
      <c r="G167" s="3">
        <f>G166/G165</f>
        <v>0</v>
      </c>
      <c r="H167" s="3">
        <f>H166/H165</f>
        <v>0</v>
      </c>
      <c r="I167" s="3">
        <f>I166/I165</f>
        <v>0</v>
      </c>
      <c r="K167" s="3">
        <f>K166/K165</f>
        <v>0</v>
      </c>
      <c r="L167" s="3">
        <f>L166/L165</f>
        <v>0</v>
      </c>
      <c r="M167" s="3">
        <f>M166/M165</f>
        <v>0</v>
      </c>
    </row>
    <row r="168" spans="1:13">
      <c r="A168" t="s">
        <v>17</v>
      </c>
      <c r="C168" s="3">
        <v>0</v>
      </c>
      <c r="D168" s="3">
        <v>0</v>
      </c>
      <c r="E168" s="3">
        <v>0</v>
      </c>
      <c r="G168" s="3">
        <v>0</v>
      </c>
      <c r="H168" s="3">
        <v>0</v>
      </c>
      <c r="I168" s="3">
        <v>0</v>
      </c>
      <c r="K168" s="3">
        <v>0</v>
      </c>
      <c r="L168" s="3">
        <v>0</v>
      </c>
      <c r="M168" s="3">
        <v>0</v>
      </c>
    </row>
    <row r="169" spans="1:13">
      <c r="A169" t="s">
        <v>18</v>
      </c>
      <c r="C169" s="3">
        <v>0</v>
      </c>
      <c r="D169" s="3">
        <v>0</v>
      </c>
      <c r="E169" s="3">
        <v>0</v>
      </c>
      <c r="G169" s="3">
        <v>0</v>
      </c>
      <c r="H169" s="3">
        <v>0</v>
      </c>
      <c r="I169" s="3">
        <v>0</v>
      </c>
      <c r="K169" s="3">
        <v>0</v>
      </c>
      <c r="L169" s="3">
        <v>0</v>
      </c>
      <c r="M169" s="3">
        <v>0</v>
      </c>
    </row>
    <row r="170" spans="1:13">
      <c r="A170" t="s">
        <v>19</v>
      </c>
      <c r="C170" s="3">
        <f>C166*C169*C168-C168</f>
        <v>0</v>
      </c>
      <c r="D170" s="3">
        <f>D166*D169*D168-D168</f>
        <v>0</v>
      </c>
      <c r="E170" s="3">
        <f>E166*E169*E168-E168</f>
        <v>0</v>
      </c>
      <c r="G170" s="3">
        <f>G166*G169*G168-G168</f>
        <v>0</v>
      </c>
      <c r="H170" s="3">
        <f>H166*H169*H168-H168</f>
        <v>0</v>
      </c>
      <c r="I170" s="3">
        <f>I166*I169*I168-I168</f>
        <v>0</v>
      </c>
      <c r="K170" s="3">
        <f>K166*K169*K168-K168</f>
        <v>0</v>
      </c>
      <c r="L170" s="3">
        <f>L166*L169*L168-L168</f>
        <v>0</v>
      </c>
      <c r="M170" s="3">
        <f>M166*M169*M168-M168</f>
        <v>0</v>
      </c>
    </row>
    <row r="172" spans="1:13">
      <c r="A172" s="1" t="s">
        <v>33</v>
      </c>
      <c r="C172" s="1" t="s">
        <v>1</v>
      </c>
      <c r="E172" s="1">
        <f>0+C179+D179+E179 + E163</f>
        <v>0</v>
      </c>
      <c r="G172" s="1" t="s">
        <v>2</v>
      </c>
      <c r="I172" s="1">
        <f>0+G179+H179+I179 + I163</f>
        <v>0</v>
      </c>
      <c r="K172" s="1" t="s">
        <v>3</v>
      </c>
      <c r="M172" s="1">
        <f>0+K179+L179+M179 + M163</f>
        <v>0</v>
      </c>
    </row>
    <row r="173" spans="1:13">
      <c r="A173" t="s">
        <v>40</v>
      </c>
      <c r="C173" s="2" t="s">
        <v>5</v>
      </c>
      <c r="D173" s="2" t="s">
        <v>6</v>
      </c>
      <c r="E173" s="2" t="s">
        <v>7</v>
      </c>
      <c r="G173" s="2" t="s">
        <v>8</v>
      </c>
      <c r="H173" s="2" t="s">
        <v>9</v>
      </c>
      <c r="I173" s="2" t="s">
        <v>10</v>
      </c>
      <c r="K173" s="2" t="s">
        <v>11</v>
      </c>
      <c r="L173" s="2" t="s">
        <v>12</v>
      </c>
      <c r="M173" s="2" t="s">
        <v>13</v>
      </c>
    </row>
    <row r="174" spans="1:13">
      <c r="A174" t="s">
        <v>14</v>
      </c>
      <c r="C174" s="3">
        <v>5.1070000000000002</v>
      </c>
      <c r="D174" s="3">
        <v>3.8260000000000001</v>
      </c>
      <c r="E174" s="3">
        <v>1.8420000000000001</v>
      </c>
      <c r="G174" s="3">
        <v>2.9380000000000002</v>
      </c>
      <c r="H174" s="3">
        <v>1.5509999999999999</v>
      </c>
      <c r="I174" s="3">
        <v>66.832999999999998</v>
      </c>
      <c r="K174" s="3">
        <v>4.7770000000000001</v>
      </c>
      <c r="L174" s="3">
        <v>1.353</v>
      </c>
      <c r="M174" s="3">
        <v>19.248999999999999</v>
      </c>
    </row>
    <row r="175" spans="1:13">
      <c r="A175" t="s">
        <v>15</v>
      </c>
      <c r="C175" s="3">
        <v>0</v>
      </c>
      <c r="D175" s="3">
        <v>0</v>
      </c>
      <c r="E175" s="3">
        <v>0</v>
      </c>
      <c r="G175" s="3">
        <v>0</v>
      </c>
      <c r="H175" s="3">
        <v>0</v>
      </c>
      <c r="I175" s="3">
        <v>0</v>
      </c>
      <c r="K175" s="3">
        <v>0</v>
      </c>
      <c r="L175" s="3">
        <v>0</v>
      </c>
      <c r="M175" s="3">
        <v>0</v>
      </c>
    </row>
    <row r="176" spans="1:13">
      <c r="A176" t="s">
        <v>16</v>
      </c>
      <c r="C176" s="3">
        <f>C175/C174</f>
        <v>0</v>
      </c>
      <c r="D176" s="3">
        <f>D175/D174</f>
        <v>0</v>
      </c>
      <c r="E176" s="3">
        <f>E175/E174</f>
        <v>0</v>
      </c>
      <c r="G176" s="3">
        <f>G175/G174</f>
        <v>0</v>
      </c>
      <c r="H176" s="3">
        <f>H175/H174</f>
        <v>0</v>
      </c>
      <c r="I176" s="3">
        <f>I175/I174</f>
        <v>0</v>
      </c>
      <c r="K176" s="3">
        <f>K175/K174</f>
        <v>0</v>
      </c>
      <c r="L176" s="3">
        <f>L175/L174</f>
        <v>0</v>
      </c>
      <c r="M176" s="3">
        <f>M175/M174</f>
        <v>0</v>
      </c>
    </row>
    <row r="177" spans="1:13">
      <c r="A177" t="s">
        <v>17</v>
      </c>
      <c r="C177" s="3">
        <v>0</v>
      </c>
      <c r="D177" s="3">
        <v>0</v>
      </c>
      <c r="E177" s="3">
        <v>0</v>
      </c>
      <c r="G177" s="3">
        <v>0</v>
      </c>
      <c r="H177" s="3">
        <v>0</v>
      </c>
      <c r="I177" s="3">
        <v>0</v>
      </c>
      <c r="K177" s="3">
        <v>0</v>
      </c>
      <c r="L177" s="3">
        <v>0</v>
      </c>
      <c r="M177" s="3">
        <v>0</v>
      </c>
    </row>
    <row r="178" spans="1:13">
      <c r="A178" t="s">
        <v>18</v>
      </c>
      <c r="C178" s="3">
        <v>0</v>
      </c>
      <c r="D178" s="3">
        <v>0</v>
      </c>
      <c r="E178" s="3">
        <v>0</v>
      </c>
      <c r="G178" s="3">
        <v>0</v>
      </c>
      <c r="H178" s="3">
        <v>0</v>
      </c>
      <c r="I178" s="3">
        <v>0</v>
      </c>
      <c r="K178" s="3">
        <v>0</v>
      </c>
      <c r="L178" s="3">
        <v>0</v>
      </c>
      <c r="M178" s="3">
        <v>0</v>
      </c>
    </row>
    <row r="179" spans="1:13">
      <c r="A179" t="s">
        <v>19</v>
      </c>
      <c r="C179" s="3">
        <f>C175*C178*C177-C177</f>
        <v>0</v>
      </c>
      <c r="D179" s="3">
        <f>D175*D178*D177-D177</f>
        <v>0</v>
      </c>
      <c r="E179" s="3">
        <f>E175*E178*E177-E177</f>
        <v>0</v>
      </c>
      <c r="G179" s="3">
        <f>G175*G178*G177-G177</f>
        <v>0</v>
      </c>
      <c r="H179" s="3">
        <f>H175*H178*H177-H177</f>
        <v>0</v>
      </c>
      <c r="I179" s="3">
        <f>I175*I178*I177-I177</f>
        <v>0</v>
      </c>
      <c r="K179" s="3">
        <f>K175*K178*K177-K177</f>
        <v>0</v>
      </c>
      <c r="L179" s="3">
        <f>L175*L178*L177-L177</f>
        <v>0</v>
      </c>
      <c r="M179" s="3">
        <f>M175*M178*M177-M177</f>
        <v>0</v>
      </c>
    </row>
    <row r="181" spans="1:13">
      <c r="A181" s="1" t="s">
        <v>33</v>
      </c>
      <c r="C181" s="1" t="s">
        <v>1</v>
      </c>
      <c r="E181" s="1">
        <f>0+C188+D188+E188 + E172</f>
        <v>0</v>
      </c>
      <c r="G181" s="1" t="s">
        <v>2</v>
      </c>
      <c r="I181" s="1">
        <f>0+G188+H188+I188 + I172</f>
        <v>0</v>
      </c>
      <c r="K181" s="1" t="s">
        <v>3</v>
      </c>
      <c r="M181" s="1">
        <f>0+K188+L188+M188 + M172</f>
        <v>0</v>
      </c>
    </row>
    <row r="182" spans="1:13">
      <c r="A182" t="s">
        <v>41</v>
      </c>
      <c r="C182" s="2" t="s">
        <v>5</v>
      </c>
      <c r="D182" s="2" t="s">
        <v>6</v>
      </c>
      <c r="E182" s="2" t="s">
        <v>7</v>
      </c>
      <c r="G182" s="2" t="s">
        <v>8</v>
      </c>
      <c r="H182" s="2" t="s">
        <v>9</v>
      </c>
      <c r="I182" s="2" t="s">
        <v>10</v>
      </c>
      <c r="K182" s="2" t="s">
        <v>11</v>
      </c>
      <c r="L182" s="2" t="s">
        <v>12</v>
      </c>
      <c r="M182" s="2" t="s">
        <v>13</v>
      </c>
    </row>
    <row r="183" spans="1:13">
      <c r="A183" t="s">
        <v>14</v>
      </c>
      <c r="C183" s="3">
        <v>3.1880000000000002</v>
      </c>
      <c r="D183" s="3">
        <v>53.408999999999999</v>
      </c>
      <c r="E183" s="3">
        <v>1.4970000000000001</v>
      </c>
      <c r="G183" s="3">
        <v>4.6840000000000002</v>
      </c>
      <c r="H183" s="3">
        <v>2.278</v>
      </c>
      <c r="I183" s="3">
        <v>2.8759999999999999</v>
      </c>
      <c r="K183" s="3">
        <v>2.6909999999999998</v>
      </c>
      <c r="L183" s="3">
        <v>27.946000000000002</v>
      </c>
      <c r="M183" s="3">
        <v>1.6870000000000001</v>
      </c>
    </row>
    <row r="184" spans="1:13">
      <c r="A184" t="s">
        <v>15</v>
      </c>
      <c r="C184" s="3">
        <v>0</v>
      </c>
      <c r="D184" s="3">
        <v>0</v>
      </c>
      <c r="E184" s="3">
        <v>0</v>
      </c>
      <c r="G184" s="3">
        <v>0</v>
      </c>
      <c r="H184" s="3">
        <v>0</v>
      </c>
      <c r="I184" s="3">
        <v>0</v>
      </c>
      <c r="K184" s="3">
        <v>0</v>
      </c>
      <c r="L184" s="3">
        <v>0</v>
      </c>
      <c r="M184" s="3">
        <v>0</v>
      </c>
    </row>
    <row r="185" spans="1:13">
      <c r="A185" t="s">
        <v>16</v>
      </c>
      <c r="C185" s="3">
        <f>C184/C183</f>
        <v>0</v>
      </c>
      <c r="D185" s="3">
        <f>D184/D183</f>
        <v>0</v>
      </c>
      <c r="E185" s="3">
        <f>E184/E183</f>
        <v>0</v>
      </c>
      <c r="G185" s="3">
        <f>G184/G183</f>
        <v>0</v>
      </c>
      <c r="H185" s="3">
        <f>H184/H183</f>
        <v>0</v>
      </c>
      <c r="I185" s="3">
        <f>I184/I183</f>
        <v>0</v>
      </c>
      <c r="K185" s="3">
        <f>K184/K183</f>
        <v>0</v>
      </c>
      <c r="L185" s="3">
        <f>L184/L183</f>
        <v>0</v>
      </c>
      <c r="M185" s="3">
        <f>M184/M183</f>
        <v>0</v>
      </c>
    </row>
    <row r="186" spans="1:13">
      <c r="A186" t="s">
        <v>17</v>
      </c>
      <c r="C186" s="3">
        <v>0</v>
      </c>
      <c r="D186" s="3">
        <v>0</v>
      </c>
      <c r="E186" s="3">
        <v>0</v>
      </c>
      <c r="G186" s="3">
        <v>0</v>
      </c>
      <c r="H186" s="3">
        <v>0</v>
      </c>
      <c r="I186" s="3">
        <v>0</v>
      </c>
      <c r="K186" s="3">
        <v>0</v>
      </c>
      <c r="L186" s="3">
        <v>0</v>
      </c>
      <c r="M186" s="3">
        <v>0</v>
      </c>
    </row>
    <row r="187" spans="1:13">
      <c r="A187" t="s">
        <v>18</v>
      </c>
      <c r="C187" s="3">
        <v>0</v>
      </c>
      <c r="D187" s="3">
        <v>0</v>
      </c>
      <c r="E187" s="3">
        <v>0</v>
      </c>
      <c r="G187" s="3">
        <v>0</v>
      </c>
      <c r="H187" s="3">
        <v>0</v>
      </c>
      <c r="I187" s="3">
        <v>0</v>
      </c>
      <c r="K187" s="3">
        <v>0</v>
      </c>
      <c r="L187" s="3">
        <v>0</v>
      </c>
      <c r="M187" s="3">
        <v>0</v>
      </c>
    </row>
    <row r="188" spans="1:13">
      <c r="A188" t="s">
        <v>19</v>
      </c>
      <c r="C188" s="3">
        <f>C184*C187*C186-C186</f>
        <v>0</v>
      </c>
      <c r="D188" s="3">
        <f>D184*D187*D186-D186</f>
        <v>0</v>
      </c>
      <c r="E188" s="3">
        <f>E184*E187*E186-E186</f>
        <v>0</v>
      </c>
      <c r="G188" s="3">
        <f>G184*G187*G186-G186</f>
        <v>0</v>
      </c>
      <c r="H188" s="3">
        <f>H184*H187*H186-H186</f>
        <v>0</v>
      </c>
      <c r="I188" s="3">
        <f>I184*I187*I186-I186</f>
        <v>0</v>
      </c>
      <c r="K188" s="3">
        <f>K184*K187*K186-K186</f>
        <v>0</v>
      </c>
      <c r="L188" s="3">
        <f>L184*L187*L186-L186</f>
        <v>0</v>
      </c>
      <c r="M188" s="3">
        <f>M184*M187*M186-M186</f>
        <v>0</v>
      </c>
    </row>
    <row r="190" spans="1:13">
      <c r="A190" s="1" t="s">
        <v>42</v>
      </c>
      <c r="C190" s="1" t="s">
        <v>1</v>
      </c>
      <c r="E190" s="1">
        <f>0+C197+D197+E197 + E181</f>
        <v>0</v>
      </c>
      <c r="G190" s="1" t="s">
        <v>2</v>
      </c>
      <c r="I190" s="1">
        <f>0+G197+H197+I197 + I181</f>
        <v>0</v>
      </c>
      <c r="K190" s="1" t="s">
        <v>3</v>
      </c>
      <c r="M190" s="1">
        <f>0+K197+L197+M197 + M181</f>
        <v>0</v>
      </c>
    </row>
    <row r="191" spans="1:13">
      <c r="A191" t="s">
        <v>43</v>
      </c>
      <c r="C191" s="2" t="s">
        <v>5</v>
      </c>
      <c r="D191" s="2" t="s">
        <v>6</v>
      </c>
      <c r="E191" s="2" t="s">
        <v>7</v>
      </c>
      <c r="G191" s="2" t="s">
        <v>8</v>
      </c>
      <c r="H191" s="2" t="s">
        <v>9</v>
      </c>
      <c r="I191" s="2" t="s">
        <v>10</v>
      </c>
      <c r="K191" s="2" t="s">
        <v>11</v>
      </c>
      <c r="L191" s="2" t="s">
        <v>12</v>
      </c>
      <c r="M191" s="2" t="s">
        <v>13</v>
      </c>
    </row>
    <row r="192" spans="1:13">
      <c r="A192" t="s">
        <v>14</v>
      </c>
      <c r="C192" s="3">
        <v>2.2989999999999999</v>
      </c>
      <c r="D192" s="3">
        <v>11.813000000000001</v>
      </c>
      <c r="E192" s="3">
        <v>2.081</v>
      </c>
      <c r="G192" s="3">
        <v>1.5449999999999999</v>
      </c>
      <c r="H192" s="3">
        <v>59.601999999999997</v>
      </c>
      <c r="I192" s="3">
        <v>2.9729999999999999</v>
      </c>
      <c r="K192" s="3">
        <v>1.728</v>
      </c>
      <c r="L192" s="3">
        <v>2.8530000000000002</v>
      </c>
      <c r="M192" s="3">
        <v>14.090999999999999</v>
      </c>
    </row>
    <row r="193" spans="1:13">
      <c r="A193" t="s">
        <v>15</v>
      </c>
      <c r="C193" s="3">
        <v>0</v>
      </c>
      <c r="D193" s="3">
        <v>0</v>
      </c>
      <c r="E193" s="3">
        <v>0</v>
      </c>
      <c r="G193" s="3">
        <v>0</v>
      </c>
      <c r="H193" s="3">
        <v>0</v>
      </c>
      <c r="I193" s="3">
        <v>0</v>
      </c>
      <c r="K193" s="3">
        <v>0</v>
      </c>
      <c r="L193" s="3">
        <v>0</v>
      </c>
      <c r="M193" s="3">
        <v>0</v>
      </c>
    </row>
    <row r="194" spans="1:13">
      <c r="A194" t="s">
        <v>16</v>
      </c>
      <c r="C194" s="3">
        <f>C193/C192</f>
        <v>0</v>
      </c>
      <c r="D194" s="3">
        <f>D193/D192</f>
        <v>0</v>
      </c>
      <c r="E194" s="3">
        <f>E193/E192</f>
        <v>0</v>
      </c>
      <c r="G194" s="3">
        <f>G193/G192</f>
        <v>0</v>
      </c>
      <c r="H194" s="3">
        <f>H193/H192</f>
        <v>0</v>
      </c>
      <c r="I194" s="3">
        <f>I193/I192</f>
        <v>0</v>
      </c>
      <c r="K194" s="3">
        <f>K193/K192</f>
        <v>0</v>
      </c>
      <c r="L194" s="3">
        <f>L193/L192</f>
        <v>0</v>
      </c>
      <c r="M194" s="3">
        <f>M193/M192</f>
        <v>0</v>
      </c>
    </row>
    <row r="195" spans="1:13">
      <c r="A195" t="s">
        <v>17</v>
      </c>
      <c r="C195" s="3">
        <v>0</v>
      </c>
      <c r="D195" s="3">
        <v>0</v>
      </c>
      <c r="E195" s="3">
        <v>0</v>
      </c>
      <c r="G195" s="3">
        <v>0</v>
      </c>
      <c r="H195" s="3">
        <v>0</v>
      </c>
      <c r="I195" s="3">
        <v>0</v>
      </c>
      <c r="K195" s="3">
        <v>0</v>
      </c>
      <c r="L195" s="3">
        <v>0</v>
      </c>
      <c r="M195" s="3">
        <v>0</v>
      </c>
    </row>
    <row r="196" spans="1:13">
      <c r="A196" t="s">
        <v>18</v>
      </c>
      <c r="C196" s="3">
        <v>0</v>
      </c>
      <c r="D196" s="3">
        <v>0</v>
      </c>
      <c r="E196" s="3">
        <v>0</v>
      </c>
      <c r="G196" s="3">
        <v>0</v>
      </c>
      <c r="H196" s="3">
        <v>0</v>
      </c>
      <c r="I196" s="3">
        <v>0</v>
      </c>
      <c r="K196" s="3">
        <v>0</v>
      </c>
      <c r="L196" s="3">
        <v>0</v>
      </c>
      <c r="M196" s="3">
        <v>0</v>
      </c>
    </row>
    <row r="197" spans="1:13">
      <c r="A197" t="s">
        <v>19</v>
      </c>
      <c r="C197" s="3">
        <f>C193*C196*C195-C195</f>
        <v>0</v>
      </c>
      <c r="D197" s="3">
        <f>D193*D196*D195-D195</f>
        <v>0</v>
      </c>
      <c r="E197" s="3">
        <f>E193*E196*E195-E195</f>
        <v>0</v>
      </c>
      <c r="G197" s="3">
        <f>G193*G196*G195-G195</f>
        <v>0</v>
      </c>
      <c r="H197" s="3">
        <f>H193*H196*H195-H195</f>
        <v>0</v>
      </c>
      <c r="I197" s="3">
        <f>I193*I196*I195-I195</f>
        <v>0</v>
      </c>
      <c r="K197" s="3">
        <f>K193*K196*K195-K195</f>
        <v>0</v>
      </c>
      <c r="L197" s="3">
        <f>L193*L196*L195-L195</f>
        <v>0</v>
      </c>
      <c r="M197" s="3">
        <f>M193*M196*M195-M195</f>
        <v>0</v>
      </c>
    </row>
    <row r="199" spans="1:13">
      <c r="A199" s="1" t="s">
        <v>42</v>
      </c>
      <c r="C199" s="1" t="s">
        <v>1</v>
      </c>
      <c r="E199" s="1">
        <f>0+C206+D206+E206 + E190</f>
        <v>0</v>
      </c>
      <c r="G199" s="1" t="s">
        <v>2</v>
      </c>
      <c r="I199" s="1">
        <f>0+G206+H206+I206 + I190</f>
        <v>0</v>
      </c>
      <c r="K199" s="1" t="s">
        <v>3</v>
      </c>
      <c r="M199" s="1">
        <f>0+K206+L206+M206 + M190</f>
        <v>0</v>
      </c>
    </row>
    <row r="200" spans="1:13">
      <c r="A200" t="s">
        <v>44</v>
      </c>
      <c r="C200" s="2" t="s">
        <v>5</v>
      </c>
      <c r="D200" s="2" t="s">
        <v>6</v>
      </c>
      <c r="E200" s="2" t="s">
        <v>7</v>
      </c>
      <c r="G200" s="2" t="s">
        <v>8</v>
      </c>
      <c r="H200" s="2" t="s">
        <v>9</v>
      </c>
      <c r="I200" s="2" t="s">
        <v>10</v>
      </c>
      <c r="K200" s="2" t="s">
        <v>11</v>
      </c>
      <c r="L200" s="2" t="s">
        <v>12</v>
      </c>
      <c r="M200" s="2" t="s">
        <v>13</v>
      </c>
    </row>
    <row r="201" spans="1:13">
      <c r="A201" t="s">
        <v>14</v>
      </c>
      <c r="C201" s="3">
        <v>1.712</v>
      </c>
      <c r="D201" s="3">
        <v>124.708</v>
      </c>
      <c r="E201" s="3">
        <v>2.4500000000000002</v>
      </c>
      <c r="G201" s="3">
        <v>1.913</v>
      </c>
      <c r="H201" s="3">
        <v>2.2949999999999999</v>
      </c>
      <c r="I201" s="3">
        <v>23.936</v>
      </c>
      <c r="K201" s="3">
        <v>4.3920000000000003</v>
      </c>
      <c r="L201" s="3">
        <v>1.3879999999999999</v>
      </c>
      <c r="M201" s="3">
        <v>19.274000000000001</v>
      </c>
    </row>
    <row r="202" spans="1:13">
      <c r="A202" t="s">
        <v>15</v>
      </c>
      <c r="C202" s="3">
        <v>0</v>
      </c>
      <c r="D202" s="3">
        <v>0</v>
      </c>
      <c r="E202" s="3">
        <v>0</v>
      </c>
      <c r="G202" s="3">
        <v>0</v>
      </c>
      <c r="H202" s="3">
        <v>0</v>
      </c>
      <c r="I202" s="3">
        <v>0</v>
      </c>
      <c r="K202" s="3">
        <v>0</v>
      </c>
      <c r="L202" s="3">
        <v>0</v>
      </c>
      <c r="M202" s="3">
        <v>0</v>
      </c>
    </row>
    <row r="203" spans="1:13">
      <c r="A203" t="s">
        <v>16</v>
      </c>
      <c r="C203" s="3">
        <f>C202/C201</f>
        <v>0</v>
      </c>
      <c r="D203" s="3">
        <f>D202/D201</f>
        <v>0</v>
      </c>
      <c r="E203" s="3">
        <f>E202/E201</f>
        <v>0</v>
      </c>
      <c r="G203" s="3">
        <f>G202/G201</f>
        <v>0</v>
      </c>
      <c r="H203" s="3">
        <f>H202/H201</f>
        <v>0</v>
      </c>
      <c r="I203" s="3">
        <f>I202/I201</f>
        <v>0</v>
      </c>
      <c r="K203" s="3">
        <f>K202/K201</f>
        <v>0</v>
      </c>
      <c r="L203" s="3">
        <f>L202/L201</f>
        <v>0</v>
      </c>
      <c r="M203" s="3">
        <f>M202/M201</f>
        <v>0</v>
      </c>
    </row>
    <row r="204" spans="1:13">
      <c r="A204" t="s">
        <v>17</v>
      </c>
      <c r="C204" s="3">
        <v>0</v>
      </c>
      <c r="D204" s="3">
        <v>0</v>
      </c>
      <c r="E204" s="3">
        <v>0</v>
      </c>
      <c r="G204" s="3">
        <v>0</v>
      </c>
      <c r="H204" s="3">
        <v>0</v>
      </c>
      <c r="I204" s="3">
        <v>0</v>
      </c>
      <c r="K204" s="3">
        <v>0</v>
      </c>
      <c r="L204" s="3">
        <v>0</v>
      </c>
      <c r="M204" s="3">
        <v>0</v>
      </c>
    </row>
    <row r="205" spans="1:13">
      <c r="A205" t="s">
        <v>18</v>
      </c>
      <c r="C205" s="3">
        <v>0</v>
      </c>
      <c r="D205" s="3">
        <v>0</v>
      </c>
      <c r="E205" s="3">
        <v>0</v>
      </c>
      <c r="G205" s="3">
        <v>0</v>
      </c>
      <c r="H205" s="3">
        <v>0</v>
      </c>
      <c r="I205" s="3">
        <v>0</v>
      </c>
      <c r="K205" s="3">
        <v>0</v>
      </c>
      <c r="L205" s="3">
        <v>0</v>
      </c>
      <c r="M205" s="3">
        <v>0</v>
      </c>
    </row>
    <row r="206" spans="1:13">
      <c r="A206" t="s">
        <v>19</v>
      </c>
      <c r="C206" s="3">
        <f>C202*C205*C204-C204</f>
        <v>0</v>
      </c>
      <c r="D206" s="3">
        <f>D202*D205*D204-D204</f>
        <v>0</v>
      </c>
      <c r="E206" s="3">
        <f>E202*E205*E204-E204</f>
        <v>0</v>
      </c>
      <c r="G206" s="3">
        <f>G202*G205*G204-G204</f>
        <v>0</v>
      </c>
      <c r="H206" s="3">
        <f>H202*H205*H204-H204</f>
        <v>0</v>
      </c>
      <c r="I206" s="3">
        <f>I202*I205*I204-I204</f>
        <v>0</v>
      </c>
      <c r="K206" s="3">
        <f>K202*K205*K204-K204</f>
        <v>0</v>
      </c>
      <c r="L206" s="3">
        <f>L202*L205*L204-L204</f>
        <v>0</v>
      </c>
      <c r="M206" s="3">
        <f>M202*M205*M204-M204</f>
        <v>0</v>
      </c>
    </row>
    <row r="208" spans="1:13">
      <c r="A208" s="1" t="s">
        <v>42</v>
      </c>
      <c r="C208" s="1" t="s">
        <v>1</v>
      </c>
      <c r="E208" s="1">
        <f>0+C215+D215+E215 + E199</f>
        <v>0</v>
      </c>
      <c r="G208" s="1" t="s">
        <v>2</v>
      </c>
      <c r="I208" s="1">
        <f>0+G215+H215+I215 + I199</f>
        <v>0</v>
      </c>
      <c r="K208" s="1" t="s">
        <v>3</v>
      </c>
      <c r="M208" s="1">
        <f>0+K215+L215+M215 + M199</f>
        <v>0</v>
      </c>
    </row>
    <row r="209" spans="1:13">
      <c r="A209" t="s">
        <v>45</v>
      </c>
      <c r="C209" s="2" t="s">
        <v>5</v>
      </c>
      <c r="D209" s="2" t="s">
        <v>6</v>
      </c>
      <c r="E209" s="2" t="s">
        <v>7</v>
      </c>
      <c r="G209" s="2" t="s">
        <v>8</v>
      </c>
      <c r="H209" s="2" t="s">
        <v>9</v>
      </c>
      <c r="I209" s="2" t="s">
        <v>10</v>
      </c>
      <c r="K209" s="2" t="s">
        <v>11</v>
      </c>
      <c r="L209" s="2" t="s">
        <v>12</v>
      </c>
      <c r="M209" s="2" t="s">
        <v>13</v>
      </c>
    </row>
    <row r="210" spans="1:13">
      <c r="A210" t="s">
        <v>14</v>
      </c>
      <c r="C210" s="3">
        <v>1.413</v>
      </c>
      <c r="D210" s="3">
        <v>44.715000000000003</v>
      </c>
      <c r="E210" s="3">
        <v>3.6989999999999998</v>
      </c>
      <c r="G210" s="3">
        <v>2.3330000000000002</v>
      </c>
      <c r="H210" s="3">
        <v>3.6709999999999998</v>
      </c>
      <c r="I210" s="3">
        <v>3.343</v>
      </c>
      <c r="K210" s="3">
        <v>3.9580000000000002</v>
      </c>
      <c r="L210" s="3">
        <v>2.4449999999999998</v>
      </c>
      <c r="M210" s="3">
        <v>2.9540000000000002</v>
      </c>
    </row>
    <row r="211" spans="1:13">
      <c r="A211" t="s">
        <v>15</v>
      </c>
      <c r="C211" s="3">
        <v>0</v>
      </c>
      <c r="D211" s="3">
        <v>0</v>
      </c>
      <c r="E211" s="3">
        <v>0</v>
      </c>
      <c r="G211" s="3">
        <v>0</v>
      </c>
      <c r="H211" s="3">
        <v>0</v>
      </c>
      <c r="I211" s="3">
        <v>0</v>
      </c>
      <c r="K211" s="3">
        <v>0</v>
      </c>
      <c r="L211" s="3">
        <v>0</v>
      </c>
      <c r="M211" s="3">
        <v>0</v>
      </c>
    </row>
    <row r="212" spans="1:13">
      <c r="A212" t="s">
        <v>16</v>
      </c>
      <c r="C212" s="3">
        <f>C211/C210</f>
        <v>0</v>
      </c>
      <c r="D212" s="3">
        <f>D211/D210</f>
        <v>0</v>
      </c>
      <c r="E212" s="3">
        <f>E211/E210</f>
        <v>0</v>
      </c>
      <c r="G212" s="3">
        <f>G211/G210</f>
        <v>0</v>
      </c>
      <c r="H212" s="3">
        <f>H211/H210</f>
        <v>0</v>
      </c>
      <c r="I212" s="3">
        <f>I211/I210</f>
        <v>0</v>
      </c>
      <c r="K212" s="3">
        <f>K211/K210</f>
        <v>0</v>
      </c>
      <c r="L212" s="3">
        <f>L211/L210</f>
        <v>0</v>
      </c>
      <c r="M212" s="3">
        <f>M211/M210</f>
        <v>0</v>
      </c>
    </row>
    <row r="213" spans="1:13">
      <c r="A213" t="s">
        <v>17</v>
      </c>
      <c r="C213" s="3">
        <v>0</v>
      </c>
      <c r="D213" s="3">
        <v>0</v>
      </c>
      <c r="E213" s="3">
        <v>0</v>
      </c>
      <c r="G213" s="3">
        <v>0</v>
      </c>
      <c r="H213" s="3">
        <v>0</v>
      </c>
      <c r="I213" s="3">
        <v>0</v>
      </c>
      <c r="K213" s="3">
        <v>0</v>
      </c>
      <c r="L213" s="3">
        <v>0</v>
      </c>
      <c r="M213" s="3">
        <v>0</v>
      </c>
    </row>
    <row r="214" spans="1:13">
      <c r="A214" t="s">
        <v>18</v>
      </c>
      <c r="C214" s="3">
        <v>0</v>
      </c>
      <c r="D214" s="3">
        <v>0</v>
      </c>
      <c r="E214" s="3">
        <v>0</v>
      </c>
      <c r="G214" s="3">
        <v>0</v>
      </c>
      <c r="H214" s="3">
        <v>0</v>
      </c>
      <c r="I214" s="3">
        <v>0</v>
      </c>
      <c r="K214" s="3">
        <v>0</v>
      </c>
      <c r="L214" s="3">
        <v>0</v>
      </c>
      <c r="M214" s="3">
        <v>0</v>
      </c>
    </row>
    <row r="215" spans="1:13">
      <c r="A215" t="s">
        <v>19</v>
      </c>
      <c r="C215" s="3">
        <f>C211*C214*C213-C213</f>
        <v>0</v>
      </c>
      <c r="D215" s="3">
        <f>D211*D214*D213-D213</f>
        <v>0</v>
      </c>
      <c r="E215" s="3">
        <f>E211*E214*E213-E213</f>
        <v>0</v>
      </c>
      <c r="G215" s="3">
        <f>G211*G214*G213-G213</f>
        <v>0</v>
      </c>
      <c r="H215" s="3">
        <f>H211*H214*H213-H213</f>
        <v>0</v>
      </c>
      <c r="I215" s="3">
        <f>I211*I214*I213-I213</f>
        <v>0</v>
      </c>
      <c r="K215" s="3">
        <f>K211*K214*K213-K213</f>
        <v>0</v>
      </c>
      <c r="L215" s="3">
        <f>L211*L214*L213-L213</f>
        <v>0</v>
      </c>
      <c r="M215" s="3">
        <f>M211*M214*M213-M213</f>
        <v>0</v>
      </c>
    </row>
    <row r="217" spans="1:13">
      <c r="A217" s="1" t="s">
        <v>42</v>
      </c>
      <c r="C217" s="1" t="s">
        <v>1</v>
      </c>
      <c r="E217" s="1">
        <f>0+C224+D224+E224 + E208</f>
        <v>0</v>
      </c>
      <c r="G217" s="1" t="s">
        <v>2</v>
      </c>
      <c r="I217" s="1">
        <f>0+G224+H224+I224 + I208</f>
        <v>0</v>
      </c>
      <c r="K217" s="1" t="s">
        <v>3</v>
      </c>
      <c r="M217" s="1">
        <f>0+K224+L224+M224 + M208</f>
        <v>0</v>
      </c>
    </row>
    <row r="218" spans="1:13">
      <c r="A218" t="s">
        <v>46</v>
      </c>
      <c r="C218" s="2" t="s">
        <v>5</v>
      </c>
      <c r="D218" s="2" t="s">
        <v>6</v>
      </c>
      <c r="E218" s="2" t="s">
        <v>7</v>
      </c>
      <c r="G218" s="2" t="s">
        <v>8</v>
      </c>
      <c r="H218" s="2" t="s">
        <v>9</v>
      </c>
      <c r="I218" s="2" t="s">
        <v>10</v>
      </c>
      <c r="K218" s="2" t="s">
        <v>11</v>
      </c>
      <c r="L218" s="2" t="s">
        <v>12</v>
      </c>
      <c r="M218" s="2" t="s">
        <v>13</v>
      </c>
    </row>
    <row r="219" spans="1:13">
      <c r="A219" t="s">
        <v>14</v>
      </c>
      <c r="C219" s="3">
        <v>1.5</v>
      </c>
      <c r="D219" s="3">
        <v>35.228000000000002</v>
      </c>
      <c r="E219" s="3">
        <v>3.274</v>
      </c>
      <c r="G219" s="3">
        <v>15.752000000000001</v>
      </c>
      <c r="H219" s="3">
        <v>1.373</v>
      </c>
      <c r="I219" s="3">
        <v>4.7949999999999999</v>
      </c>
      <c r="K219" s="3">
        <v>4.2050000000000001</v>
      </c>
      <c r="L219" s="3">
        <v>1.7689999999999999</v>
      </c>
      <c r="M219" s="3">
        <v>5.07</v>
      </c>
    </row>
    <row r="220" spans="1:13">
      <c r="A220" t="s">
        <v>15</v>
      </c>
      <c r="C220" s="3">
        <v>0</v>
      </c>
      <c r="D220" s="3">
        <v>0</v>
      </c>
      <c r="E220" s="3">
        <v>0</v>
      </c>
      <c r="G220" s="3">
        <v>0</v>
      </c>
      <c r="H220" s="3">
        <v>0</v>
      </c>
      <c r="I220" s="3">
        <v>0</v>
      </c>
      <c r="K220" s="3">
        <v>0</v>
      </c>
      <c r="L220" s="3">
        <v>0</v>
      </c>
      <c r="M220" s="3">
        <v>0</v>
      </c>
    </row>
    <row r="221" spans="1:13">
      <c r="A221" t="s">
        <v>16</v>
      </c>
      <c r="C221" s="3">
        <f>C220/C219</f>
        <v>0</v>
      </c>
      <c r="D221" s="3">
        <f>D220/D219</f>
        <v>0</v>
      </c>
      <c r="E221" s="3">
        <f>E220/E219</f>
        <v>0</v>
      </c>
      <c r="G221" s="3">
        <f>G220/G219</f>
        <v>0</v>
      </c>
      <c r="H221" s="3">
        <f>H220/H219</f>
        <v>0</v>
      </c>
      <c r="I221" s="3">
        <f>I220/I219</f>
        <v>0</v>
      </c>
      <c r="K221" s="3">
        <f>K220/K219</f>
        <v>0</v>
      </c>
      <c r="L221" s="3">
        <f>L220/L219</f>
        <v>0</v>
      </c>
      <c r="M221" s="3">
        <f>M220/M219</f>
        <v>0</v>
      </c>
    </row>
    <row r="222" spans="1:13">
      <c r="A222" t="s">
        <v>17</v>
      </c>
      <c r="C222" s="3">
        <v>0</v>
      </c>
      <c r="D222" s="3">
        <v>0</v>
      </c>
      <c r="E222" s="3">
        <v>0</v>
      </c>
      <c r="G222" s="3">
        <v>0</v>
      </c>
      <c r="H222" s="3">
        <v>0</v>
      </c>
      <c r="I222" s="3">
        <v>0</v>
      </c>
      <c r="K222" s="3">
        <v>0</v>
      </c>
      <c r="L222" s="3">
        <v>0</v>
      </c>
      <c r="M222" s="3">
        <v>0</v>
      </c>
    </row>
    <row r="223" spans="1:13">
      <c r="A223" t="s">
        <v>18</v>
      </c>
      <c r="C223" s="3">
        <v>0</v>
      </c>
      <c r="D223" s="3">
        <v>0</v>
      </c>
      <c r="E223" s="3">
        <v>0</v>
      </c>
      <c r="G223" s="3">
        <v>0</v>
      </c>
      <c r="H223" s="3">
        <v>0</v>
      </c>
      <c r="I223" s="3">
        <v>0</v>
      </c>
      <c r="K223" s="3">
        <v>0</v>
      </c>
      <c r="L223" s="3">
        <v>0</v>
      </c>
      <c r="M223" s="3">
        <v>0</v>
      </c>
    </row>
    <row r="224" spans="1:13">
      <c r="A224" t="s">
        <v>19</v>
      </c>
      <c r="C224" s="3">
        <f>C220*C223*C222-C222</f>
        <v>0</v>
      </c>
      <c r="D224" s="3">
        <f>D220*D223*D222-D222</f>
        <v>0</v>
      </c>
      <c r="E224" s="3">
        <f>E220*E223*E222-E222</f>
        <v>0</v>
      </c>
      <c r="G224" s="3">
        <f>G220*G223*G222-G222</f>
        <v>0</v>
      </c>
      <c r="H224" s="3">
        <f>H220*H223*H222-H222</f>
        <v>0</v>
      </c>
      <c r="I224" s="3">
        <f>I220*I223*I222-I222</f>
        <v>0</v>
      </c>
      <c r="K224" s="3">
        <f>K220*K223*K222-K222</f>
        <v>0</v>
      </c>
      <c r="L224" s="3">
        <f>L220*L223*L222-L222</f>
        <v>0</v>
      </c>
      <c r="M224" s="3">
        <f>M220*M223*M222-M222</f>
        <v>0</v>
      </c>
    </row>
    <row r="226" spans="1:13">
      <c r="A226" s="1" t="s">
        <v>42</v>
      </c>
      <c r="C226" s="1" t="s">
        <v>1</v>
      </c>
      <c r="E226" s="1">
        <f>0+C233+D233+E233 + E217</f>
        <v>0</v>
      </c>
      <c r="G226" s="1" t="s">
        <v>2</v>
      </c>
      <c r="I226" s="1">
        <f>0+G233+H233+I233 + I217</f>
        <v>0</v>
      </c>
      <c r="K226" s="1" t="s">
        <v>3</v>
      </c>
      <c r="M226" s="1">
        <f>0+K233+L233+M233 + M217</f>
        <v>0</v>
      </c>
    </row>
    <row r="227" spans="1:13">
      <c r="A227" t="s">
        <v>47</v>
      </c>
      <c r="C227" s="2" t="s">
        <v>5</v>
      </c>
      <c r="D227" s="2" t="s">
        <v>6</v>
      </c>
      <c r="E227" s="2" t="s">
        <v>7</v>
      </c>
      <c r="G227" s="2" t="s">
        <v>8</v>
      </c>
      <c r="H227" s="2" t="s">
        <v>9</v>
      </c>
      <c r="I227" s="2" t="s">
        <v>10</v>
      </c>
      <c r="K227" s="2" t="s">
        <v>11</v>
      </c>
      <c r="L227" s="2" t="s">
        <v>12</v>
      </c>
      <c r="M227" s="2" t="s">
        <v>13</v>
      </c>
    </row>
    <row r="228" spans="1:13">
      <c r="A228" t="s">
        <v>14</v>
      </c>
      <c r="C228" s="3">
        <v>2.4670000000000001</v>
      </c>
      <c r="D228" s="3">
        <v>2.4380000000000002</v>
      </c>
      <c r="E228" s="3">
        <v>5.4189999999999996</v>
      </c>
      <c r="G228" s="3">
        <v>4.4130000000000003</v>
      </c>
      <c r="H228" s="3">
        <v>2.7240000000000002</v>
      </c>
      <c r="I228" s="3">
        <v>2.46</v>
      </c>
      <c r="K228" s="3">
        <v>12.289</v>
      </c>
      <c r="L228" s="3">
        <v>1.244</v>
      </c>
      <c r="M228" s="3">
        <v>8.6790000000000003</v>
      </c>
    </row>
    <row r="229" spans="1:13">
      <c r="A229" t="s">
        <v>15</v>
      </c>
      <c r="C229" s="3">
        <v>0</v>
      </c>
      <c r="D229" s="3">
        <v>0</v>
      </c>
      <c r="E229" s="3">
        <v>0</v>
      </c>
      <c r="G229" s="3">
        <v>0</v>
      </c>
      <c r="H229" s="3">
        <v>0</v>
      </c>
      <c r="I229" s="3">
        <v>0</v>
      </c>
      <c r="K229" s="3">
        <v>0</v>
      </c>
      <c r="L229" s="3">
        <v>0</v>
      </c>
      <c r="M229" s="3">
        <v>0</v>
      </c>
    </row>
    <row r="230" spans="1:13">
      <c r="A230" t="s">
        <v>16</v>
      </c>
      <c r="C230" s="3">
        <f>C229/C228</f>
        <v>0</v>
      </c>
      <c r="D230" s="3">
        <f>D229/D228</f>
        <v>0</v>
      </c>
      <c r="E230" s="3">
        <f>E229/E228</f>
        <v>0</v>
      </c>
      <c r="G230" s="3">
        <f>G229/G228</f>
        <v>0</v>
      </c>
      <c r="H230" s="3">
        <f>H229/H228</f>
        <v>0</v>
      </c>
      <c r="I230" s="3">
        <f>I229/I228</f>
        <v>0</v>
      </c>
      <c r="K230" s="3">
        <f>K229/K228</f>
        <v>0</v>
      </c>
      <c r="L230" s="3">
        <f>L229/L228</f>
        <v>0</v>
      </c>
      <c r="M230" s="3">
        <f>M229/M228</f>
        <v>0</v>
      </c>
    </row>
    <row r="231" spans="1:13">
      <c r="A231" t="s">
        <v>17</v>
      </c>
      <c r="C231" s="3">
        <v>0</v>
      </c>
      <c r="D231" s="3">
        <v>0</v>
      </c>
      <c r="E231" s="3">
        <v>0</v>
      </c>
      <c r="G231" s="3">
        <v>0</v>
      </c>
      <c r="H231" s="3">
        <v>0</v>
      </c>
      <c r="I231" s="3">
        <v>0</v>
      </c>
      <c r="K231" s="3">
        <v>0</v>
      </c>
      <c r="L231" s="3">
        <v>0</v>
      </c>
      <c r="M231" s="3">
        <v>0</v>
      </c>
    </row>
    <row r="232" spans="1:13">
      <c r="A232" t="s">
        <v>18</v>
      </c>
      <c r="C232" s="3">
        <v>0</v>
      </c>
      <c r="D232" s="3">
        <v>0</v>
      </c>
      <c r="E232" s="3">
        <v>0</v>
      </c>
      <c r="G232" s="3">
        <v>0</v>
      </c>
      <c r="H232" s="3">
        <v>0</v>
      </c>
      <c r="I232" s="3">
        <v>0</v>
      </c>
      <c r="K232" s="3">
        <v>0</v>
      </c>
      <c r="L232" s="3">
        <v>0</v>
      </c>
      <c r="M232" s="3">
        <v>0</v>
      </c>
    </row>
    <row r="233" spans="1:13">
      <c r="A233" t="s">
        <v>19</v>
      </c>
      <c r="C233" s="3">
        <f>C229*C232*C231-C231</f>
        <v>0</v>
      </c>
      <c r="D233" s="3">
        <f>D229*D232*D231-D231</f>
        <v>0</v>
      </c>
      <c r="E233" s="3">
        <f>E229*E232*E231-E231</f>
        <v>0</v>
      </c>
      <c r="G233" s="3">
        <f>G229*G232*G231-G231</f>
        <v>0</v>
      </c>
      <c r="H233" s="3">
        <f>H229*H232*H231-H231</f>
        <v>0</v>
      </c>
      <c r="I233" s="3">
        <f>I229*I232*I231-I231</f>
        <v>0</v>
      </c>
      <c r="K233" s="3">
        <f>K229*K232*K231-K231</f>
        <v>0</v>
      </c>
      <c r="L233" s="3">
        <f>L229*L232*L231-L231</f>
        <v>0</v>
      </c>
      <c r="M233" s="3">
        <f>M229*M232*M231-M231</f>
        <v>0</v>
      </c>
    </row>
    <row r="235" spans="1:13">
      <c r="A235" s="1" t="s">
        <v>42</v>
      </c>
      <c r="C235" s="1" t="s">
        <v>1</v>
      </c>
      <c r="E235" s="1">
        <f>0+C242+D242+E242 + E226</f>
        <v>0</v>
      </c>
      <c r="G235" s="1" t="s">
        <v>2</v>
      </c>
      <c r="I235" s="1">
        <f>0+G242+H242+I242 + I226</f>
        <v>0</v>
      </c>
      <c r="K235" s="1" t="s">
        <v>3</v>
      </c>
      <c r="M235" s="1">
        <f>0+K242+L242+M242 + M226</f>
        <v>0</v>
      </c>
    </row>
    <row r="236" spans="1:13">
      <c r="A236" t="s">
        <v>48</v>
      </c>
      <c r="C236" s="2" t="s">
        <v>5</v>
      </c>
      <c r="D236" s="2" t="s">
        <v>6</v>
      </c>
      <c r="E236" s="2" t="s">
        <v>7</v>
      </c>
      <c r="G236" s="2" t="s">
        <v>8</v>
      </c>
      <c r="H236" s="2" t="s">
        <v>9</v>
      </c>
      <c r="I236" s="2" t="s">
        <v>10</v>
      </c>
      <c r="K236" s="2" t="s">
        <v>11</v>
      </c>
      <c r="L236" s="2" t="s">
        <v>12</v>
      </c>
      <c r="M236" s="2" t="s">
        <v>13</v>
      </c>
    </row>
    <row r="237" spans="1:13">
      <c r="A237" t="s">
        <v>14</v>
      </c>
      <c r="C237" s="3">
        <v>2.9420000000000002</v>
      </c>
      <c r="D237" s="3">
        <v>3.3849999999999998</v>
      </c>
      <c r="E237" s="3">
        <v>2.7410000000000001</v>
      </c>
      <c r="G237" s="3">
        <v>2.395</v>
      </c>
      <c r="H237" s="3">
        <v>2.859</v>
      </c>
      <c r="I237" s="3">
        <v>4.2949999999999999</v>
      </c>
      <c r="K237" s="3">
        <v>11.837999999999999</v>
      </c>
      <c r="L237" s="3">
        <v>2.9049999999999998</v>
      </c>
      <c r="M237" s="3">
        <v>1.75</v>
      </c>
    </row>
    <row r="238" spans="1:13">
      <c r="A238" t="s">
        <v>15</v>
      </c>
      <c r="C238" s="3">
        <v>0</v>
      </c>
      <c r="D238" s="3">
        <v>0</v>
      </c>
      <c r="E238" s="3">
        <v>0</v>
      </c>
      <c r="G238" s="3">
        <v>0</v>
      </c>
      <c r="H238" s="3">
        <v>0</v>
      </c>
      <c r="I238" s="3">
        <v>0</v>
      </c>
      <c r="K238" s="3">
        <v>0</v>
      </c>
      <c r="L238" s="3">
        <v>0</v>
      </c>
      <c r="M238" s="3">
        <v>0</v>
      </c>
    </row>
    <row r="239" spans="1:13">
      <c r="A239" t="s">
        <v>16</v>
      </c>
      <c r="C239" s="3">
        <f>C238/C237</f>
        <v>0</v>
      </c>
      <c r="D239" s="3">
        <f>D238/D237</f>
        <v>0</v>
      </c>
      <c r="E239" s="3">
        <f>E238/E237</f>
        <v>0</v>
      </c>
      <c r="G239" s="3">
        <f>G238/G237</f>
        <v>0</v>
      </c>
      <c r="H239" s="3">
        <f>H238/H237</f>
        <v>0</v>
      </c>
      <c r="I239" s="3">
        <f>I238/I237</f>
        <v>0</v>
      </c>
      <c r="K239" s="3">
        <f>K238/K237</f>
        <v>0</v>
      </c>
      <c r="L239" s="3">
        <f>L238/L237</f>
        <v>0</v>
      </c>
      <c r="M239" s="3">
        <f>M238/M237</f>
        <v>0</v>
      </c>
    </row>
    <row r="240" spans="1:13">
      <c r="A240" t="s">
        <v>17</v>
      </c>
      <c r="C240" s="3">
        <v>0</v>
      </c>
      <c r="D240" s="3">
        <v>0</v>
      </c>
      <c r="E240" s="3">
        <v>0</v>
      </c>
      <c r="G240" s="3">
        <v>0</v>
      </c>
      <c r="H240" s="3">
        <v>0</v>
      </c>
      <c r="I240" s="3">
        <v>0</v>
      </c>
      <c r="K240" s="3">
        <v>0</v>
      </c>
      <c r="L240" s="3">
        <v>0</v>
      </c>
      <c r="M240" s="3">
        <v>0</v>
      </c>
    </row>
    <row r="241" spans="1:13">
      <c r="A241" t="s">
        <v>18</v>
      </c>
      <c r="C241" s="3">
        <v>0</v>
      </c>
      <c r="D241" s="3">
        <v>0</v>
      </c>
      <c r="E241" s="3">
        <v>0</v>
      </c>
      <c r="G241" s="3">
        <v>0</v>
      </c>
      <c r="H241" s="3">
        <v>0</v>
      </c>
      <c r="I241" s="3">
        <v>0</v>
      </c>
      <c r="K241" s="3">
        <v>0</v>
      </c>
      <c r="L241" s="3">
        <v>0</v>
      </c>
      <c r="M241" s="3">
        <v>0</v>
      </c>
    </row>
    <row r="242" spans="1:13">
      <c r="A242" t="s">
        <v>19</v>
      </c>
      <c r="C242" s="3">
        <f>C238*C241*C240-C240</f>
        <v>0</v>
      </c>
      <c r="D242" s="3">
        <f>D238*D241*D240-D240</f>
        <v>0</v>
      </c>
      <c r="E242" s="3">
        <f>E238*E241*E240-E240</f>
        <v>0</v>
      </c>
      <c r="G242" s="3">
        <f>G238*G241*G240-G240</f>
        <v>0</v>
      </c>
      <c r="H242" s="3">
        <f>H238*H241*H240-H240</f>
        <v>0</v>
      </c>
      <c r="I242" s="3">
        <f>I238*I241*I240-I240</f>
        <v>0</v>
      </c>
      <c r="K242" s="3">
        <f>K238*K241*K240-K240</f>
        <v>0</v>
      </c>
      <c r="L242" s="3">
        <f>L238*L241*L240-L240</f>
        <v>0</v>
      </c>
      <c r="M242" s="3">
        <f>M238*M241*M240-M240</f>
        <v>0</v>
      </c>
    </row>
    <row r="244" spans="1:13">
      <c r="A244" s="1" t="s">
        <v>49</v>
      </c>
      <c r="C244" s="1" t="s">
        <v>1</v>
      </c>
      <c r="E244" s="1">
        <f>0+C251+D251+E251 + E235</f>
        <v>0</v>
      </c>
      <c r="G244" s="1" t="s">
        <v>2</v>
      </c>
      <c r="I244" s="1">
        <f>0+G251+H251+I251 + I235</f>
        <v>0</v>
      </c>
      <c r="K244" s="1" t="s">
        <v>3</v>
      </c>
      <c r="M244" s="1">
        <f>0+K251+L251+M251 + M235</f>
        <v>0</v>
      </c>
    </row>
    <row r="245" spans="1:13">
      <c r="A245" t="s">
        <v>50</v>
      </c>
      <c r="C245" s="2" t="s">
        <v>5</v>
      </c>
      <c r="D245" s="2" t="s">
        <v>6</v>
      </c>
      <c r="E245" s="2" t="s">
        <v>7</v>
      </c>
      <c r="G245" s="2" t="s">
        <v>8</v>
      </c>
      <c r="H245" s="2" t="s">
        <v>9</v>
      </c>
      <c r="I245" s="2" t="s">
        <v>10</v>
      </c>
      <c r="K245" s="2" t="s">
        <v>11</v>
      </c>
      <c r="L245" s="2" t="s">
        <v>12</v>
      </c>
      <c r="M245" s="2" t="s">
        <v>13</v>
      </c>
    </row>
    <row r="246" spans="1:13">
      <c r="A246" t="s">
        <v>14</v>
      </c>
      <c r="C246" s="3">
        <v>7.8529999999999998</v>
      </c>
      <c r="D246" s="3">
        <v>3.649</v>
      </c>
      <c r="E246" s="3">
        <v>1.67</v>
      </c>
      <c r="G246" s="3">
        <v>5.2770000000000001</v>
      </c>
      <c r="H246" s="3">
        <v>2.11</v>
      </c>
      <c r="I246" s="3">
        <v>2.97</v>
      </c>
      <c r="K246" s="3">
        <v>5.0620000000000003</v>
      </c>
      <c r="L246" s="3">
        <v>2.0640000000000001</v>
      </c>
      <c r="M246" s="3">
        <v>3.1429999999999998</v>
      </c>
    </row>
    <row r="247" spans="1:13">
      <c r="A247" t="s">
        <v>15</v>
      </c>
      <c r="C247" s="3">
        <v>0</v>
      </c>
      <c r="D247" s="3">
        <v>0</v>
      </c>
      <c r="E247" s="3">
        <v>0</v>
      </c>
      <c r="G247" s="3">
        <v>0</v>
      </c>
      <c r="H247" s="3">
        <v>0</v>
      </c>
      <c r="I247" s="3">
        <v>0</v>
      </c>
      <c r="K247" s="3">
        <v>0</v>
      </c>
      <c r="L247" s="3">
        <v>0</v>
      </c>
      <c r="M247" s="3">
        <v>0</v>
      </c>
    </row>
    <row r="248" spans="1:13">
      <c r="A248" t="s">
        <v>16</v>
      </c>
      <c r="C248" s="3">
        <f>C247/C246</f>
        <v>0</v>
      </c>
      <c r="D248" s="3">
        <f>D247/D246</f>
        <v>0</v>
      </c>
      <c r="E248" s="3">
        <f>E247/E246</f>
        <v>0</v>
      </c>
      <c r="G248" s="3">
        <f>G247/G246</f>
        <v>0</v>
      </c>
      <c r="H248" s="3">
        <f>H247/H246</f>
        <v>0</v>
      </c>
      <c r="I248" s="3">
        <f>I247/I246</f>
        <v>0</v>
      </c>
      <c r="K248" s="3">
        <f>K247/K246</f>
        <v>0</v>
      </c>
      <c r="L248" s="3">
        <f>L247/L246</f>
        <v>0</v>
      </c>
      <c r="M248" s="3">
        <f>M247/M246</f>
        <v>0</v>
      </c>
    </row>
    <row r="249" spans="1:13">
      <c r="A249" t="s">
        <v>17</v>
      </c>
      <c r="C249" s="3">
        <v>0</v>
      </c>
      <c r="D249" s="3">
        <v>0</v>
      </c>
      <c r="E249" s="3">
        <v>0</v>
      </c>
      <c r="G249" s="3">
        <v>0</v>
      </c>
      <c r="H249" s="3">
        <v>0</v>
      </c>
      <c r="I249" s="3">
        <v>0</v>
      </c>
      <c r="K249" s="3">
        <v>0</v>
      </c>
      <c r="L249" s="3">
        <v>0</v>
      </c>
      <c r="M249" s="3">
        <v>0</v>
      </c>
    </row>
    <row r="250" spans="1:13">
      <c r="A250" t="s">
        <v>18</v>
      </c>
      <c r="C250" s="3">
        <v>0</v>
      </c>
      <c r="D250" s="3">
        <v>0</v>
      </c>
      <c r="E250" s="3">
        <v>0</v>
      </c>
      <c r="G250" s="3">
        <v>0</v>
      </c>
      <c r="H250" s="3">
        <v>0</v>
      </c>
      <c r="I250" s="3">
        <v>0</v>
      </c>
      <c r="K250" s="3">
        <v>0</v>
      </c>
      <c r="L250" s="3">
        <v>0</v>
      </c>
      <c r="M250" s="3">
        <v>0</v>
      </c>
    </row>
    <row r="251" spans="1:13">
      <c r="A251" t="s">
        <v>19</v>
      </c>
      <c r="C251" s="3">
        <f>C247*C250*C249-C249</f>
        <v>0</v>
      </c>
      <c r="D251" s="3">
        <f>D247*D250*D249-D249</f>
        <v>0</v>
      </c>
      <c r="E251" s="3">
        <f>E247*E250*E249-E249</f>
        <v>0</v>
      </c>
      <c r="G251" s="3">
        <f>G247*G250*G249-G249</f>
        <v>0</v>
      </c>
      <c r="H251" s="3">
        <f>H247*H250*H249-H249</f>
        <v>0</v>
      </c>
      <c r="I251" s="3">
        <f>I247*I250*I249-I249</f>
        <v>0</v>
      </c>
      <c r="K251" s="3">
        <f>K247*K250*K249-K249</f>
        <v>0</v>
      </c>
      <c r="L251" s="3">
        <f>L247*L250*L249-L249</f>
        <v>0</v>
      </c>
      <c r="M251" s="3">
        <f>M247*M250*M249-M249</f>
        <v>0</v>
      </c>
    </row>
    <row r="253" spans="1:13">
      <c r="A253" s="1" t="s">
        <v>49</v>
      </c>
      <c r="C253" s="1" t="s">
        <v>1</v>
      </c>
      <c r="E253" s="1">
        <f>0+C260+D260+E260 + E244</f>
        <v>0</v>
      </c>
      <c r="G253" s="1" t="s">
        <v>2</v>
      </c>
      <c r="I253" s="1">
        <f>0+G260+H260+I260 + I244</f>
        <v>0</v>
      </c>
      <c r="K253" s="1" t="s">
        <v>3</v>
      </c>
      <c r="M253" s="1">
        <f>0+K260+L260+M260 + M244</f>
        <v>0</v>
      </c>
    </row>
    <row r="254" spans="1:13">
      <c r="A254" t="s">
        <v>51</v>
      </c>
      <c r="C254" s="2" t="s">
        <v>5</v>
      </c>
      <c r="D254" s="2" t="s">
        <v>6</v>
      </c>
      <c r="E254" s="2" t="s">
        <v>7</v>
      </c>
      <c r="G254" s="2" t="s">
        <v>8</v>
      </c>
      <c r="H254" s="2" t="s">
        <v>9</v>
      </c>
      <c r="I254" s="2" t="s">
        <v>10</v>
      </c>
      <c r="K254" s="2" t="s">
        <v>11</v>
      </c>
      <c r="L254" s="2" t="s">
        <v>12</v>
      </c>
      <c r="M254" s="2" t="s">
        <v>13</v>
      </c>
    </row>
    <row r="255" spans="1:13">
      <c r="A255" t="s">
        <v>14</v>
      </c>
      <c r="C255" s="3">
        <v>1.3080000000000001</v>
      </c>
      <c r="D255" s="3">
        <v>5.9859999999999998</v>
      </c>
      <c r="E255" s="3">
        <v>14.587999999999999</v>
      </c>
      <c r="G255" s="3">
        <v>2.0379999999999998</v>
      </c>
      <c r="H255" s="3">
        <v>3.4510000000000001</v>
      </c>
      <c r="I255" s="3">
        <v>4.5510000000000002</v>
      </c>
      <c r="K255" s="3">
        <v>2.0880000000000001</v>
      </c>
      <c r="L255" s="3">
        <v>1.9670000000000001</v>
      </c>
      <c r="M255" s="3">
        <v>77.614000000000004</v>
      </c>
    </row>
    <row r="256" spans="1:13">
      <c r="A256" t="s">
        <v>15</v>
      </c>
      <c r="C256" s="3">
        <v>0</v>
      </c>
      <c r="D256" s="3">
        <v>0</v>
      </c>
      <c r="E256" s="3">
        <v>0</v>
      </c>
      <c r="G256" s="3">
        <v>0</v>
      </c>
      <c r="H256" s="3">
        <v>0</v>
      </c>
      <c r="I256" s="3">
        <v>0</v>
      </c>
      <c r="K256" s="3">
        <v>0</v>
      </c>
      <c r="L256" s="3">
        <v>0</v>
      </c>
      <c r="M256" s="3">
        <v>0</v>
      </c>
    </row>
    <row r="257" spans="1:13">
      <c r="A257" t="s">
        <v>16</v>
      </c>
      <c r="C257" s="3">
        <f>C256/C255</f>
        <v>0</v>
      </c>
      <c r="D257" s="3">
        <f>D256/D255</f>
        <v>0</v>
      </c>
      <c r="E257" s="3">
        <f>E256/E255</f>
        <v>0</v>
      </c>
      <c r="G257" s="3">
        <f>G256/G255</f>
        <v>0</v>
      </c>
      <c r="H257" s="3">
        <f>H256/H255</f>
        <v>0</v>
      </c>
      <c r="I257" s="3">
        <f>I256/I255</f>
        <v>0</v>
      </c>
      <c r="K257" s="3">
        <f>K256/K255</f>
        <v>0</v>
      </c>
      <c r="L257" s="3">
        <f>L256/L255</f>
        <v>0</v>
      </c>
      <c r="M257" s="3">
        <f>M256/M255</f>
        <v>0</v>
      </c>
    </row>
    <row r="258" spans="1:13">
      <c r="A258" t="s">
        <v>17</v>
      </c>
      <c r="C258" s="3">
        <v>0</v>
      </c>
      <c r="D258" s="3">
        <v>0</v>
      </c>
      <c r="E258" s="3">
        <v>0</v>
      </c>
      <c r="G258" s="3">
        <v>0</v>
      </c>
      <c r="H258" s="3">
        <v>0</v>
      </c>
      <c r="I258" s="3">
        <v>0</v>
      </c>
      <c r="K258" s="3">
        <v>0</v>
      </c>
      <c r="L258" s="3">
        <v>0</v>
      </c>
      <c r="M258" s="3">
        <v>0</v>
      </c>
    </row>
    <row r="259" spans="1:13">
      <c r="A259" t="s">
        <v>18</v>
      </c>
      <c r="C259" s="3">
        <v>0</v>
      </c>
      <c r="D259" s="3">
        <v>0</v>
      </c>
      <c r="E259" s="3">
        <v>0</v>
      </c>
      <c r="G259" s="3">
        <v>0</v>
      </c>
      <c r="H259" s="3">
        <v>0</v>
      </c>
      <c r="I259" s="3">
        <v>0</v>
      </c>
      <c r="K259" s="3">
        <v>0</v>
      </c>
      <c r="L259" s="3">
        <v>0</v>
      </c>
      <c r="M259" s="3">
        <v>0</v>
      </c>
    </row>
    <row r="260" spans="1:13">
      <c r="A260" t="s">
        <v>19</v>
      </c>
      <c r="C260" s="3">
        <f>C256*C259*C258-C258</f>
        <v>0</v>
      </c>
      <c r="D260" s="3">
        <f>D256*D259*D258-D258</f>
        <v>0</v>
      </c>
      <c r="E260" s="3">
        <f>E256*E259*E258-E258</f>
        <v>0</v>
      </c>
      <c r="G260" s="3">
        <f>G256*G259*G258-G258</f>
        <v>0</v>
      </c>
      <c r="H260" s="3">
        <f>H256*H259*H258-H258</f>
        <v>0</v>
      </c>
      <c r="I260" s="3">
        <f>I256*I259*I258-I258</f>
        <v>0</v>
      </c>
      <c r="K260" s="3">
        <f>K256*K259*K258-K258</f>
        <v>0</v>
      </c>
      <c r="L260" s="3">
        <f>L256*L259*L258-L258</f>
        <v>0</v>
      </c>
      <c r="M260" s="3">
        <f>M256*M259*M258-M258</f>
        <v>0</v>
      </c>
    </row>
    <row r="262" spans="1:13">
      <c r="A262" s="1" t="s">
        <v>49</v>
      </c>
      <c r="C262" s="1" t="s">
        <v>1</v>
      </c>
      <c r="E262" s="1">
        <f>0+C269+D269+E269 + E253</f>
        <v>0</v>
      </c>
      <c r="G262" s="1" t="s">
        <v>2</v>
      </c>
      <c r="I262" s="1">
        <f>0+G269+H269+I269 + I253</f>
        <v>0</v>
      </c>
      <c r="K262" s="1" t="s">
        <v>3</v>
      </c>
      <c r="M262" s="1">
        <f>0+K269+L269+M269 + M253</f>
        <v>0</v>
      </c>
    </row>
    <row r="263" spans="1:13">
      <c r="A263" t="s">
        <v>52</v>
      </c>
      <c r="C263" s="2" t="s">
        <v>5</v>
      </c>
      <c r="D263" s="2" t="s">
        <v>6</v>
      </c>
      <c r="E263" s="2" t="s">
        <v>7</v>
      </c>
      <c r="G263" s="2" t="s">
        <v>8</v>
      </c>
      <c r="H263" s="2" t="s">
        <v>9</v>
      </c>
      <c r="I263" s="2" t="s">
        <v>10</v>
      </c>
      <c r="K263" s="2" t="s">
        <v>11</v>
      </c>
      <c r="L263" s="2" t="s">
        <v>12</v>
      </c>
      <c r="M263" s="2" t="s">
        <v>13</v>
      </c>
    </row>
    <row r="264" spans="1:13">
      <c r="A264" t="s">
        <v>14</v>
      </c>
      <c r="C264" s="3">
        <v>84.62</v>
      </c>
      <c r="D264" s="3">
        <v>1.6619999999999999</v>
      </c>
      <c r="E264" s="3">
        <v>2.5870000000000002</v>
      </c>
      <c r="G264" s="3">
        <v>17.79</v>
      </c>
      <c r="H264" s="3">
        <v>1.143</v>
      </c>
      <c r="I264" s="3">
        <v>14.39</v>
      </c>
      <c r="K264" s="3">
        <v>1.8109999999999999</v>
      </c>
      <c r="L264" s="3">
        <v>2.2829999999999999</v>
      </c>
      <c r="M264" s="3">
        <v>98.731999999999999</v>
      </c>
    </row>
    <row r="265" spans="1:13">
      <c r="A265" t="s">
        <v>15</v>
      </c>
      <c r="C265" s="3">
        <v>0</v>
      </c>
      <c r="D265" s="3">
        <v>0</v>
      </c>
      <c r="E265" s="3">
        <v>0</v>
      </c>
      <c r="G265" s="3">
        <v>0</v>
      </c>
      <c r="H265" s="3">
        <v>0</v>
      </c>
      <c r="I265" s="3">
        <v>0</v>
      </c>
      <c r="K265" s="3">
        <v>0</v>
      </c>
      <c r="L265" s="3">
        <v>0</v>
      </c>
      <c r="M265" s="3">
        <v>0</v>
      </c>
    </row>
    <row r="266" spans="1:13">
      <c r="A266" t="s">
        <v>16</v>
      </c>
      <c r="C266" s="3">
        <f>C265/C264</f>
        <v>0</v>
      </c>
      <c r="D266" s="3">
        <f>D265/D264</f>
        <v>0</v>
      </c>
      <c r="E266" s="3">
        <f>E265/E264</f>
        <v>0</v>
      </c>
      <c r="G266" s="3">
        <f>G265/G264</f>
        <v>0</v>
      </c>
      <c r="H266" s="3">
        <f>H265/H264</f>
        <v>0</v>
      </c>
      <c r="I266" s="3">
        <f>I265/I264</f>
        <v>0</v>
      </c>
      <c r="K266" s="3">
        <f>K265/K264</f>
        <v>0</v>
      </c>
      <c r="L266" s="3">
        <f>L265/L264</f>
        <v>0</v>
      </c>
      <c r="M266" s="3">
        <f>M265/M264</f>
        <v>0</v>
      </c>
    </row>
    <row r="267" spans="1:13">
      <c r="A267" t="s">
        <v>17</v>
      </c>
      <c r="C267" s="3">
        <v>0</v>
      </c>
      <c r="D267" s="3">
        <v>0</v>
      </c>
      <c r="E267" s="3">
        <v>0</v>
      </c>
      <c r="G267" s="3">
        <v>0</v>
      </c>
      <c r="H267" s="3">
        <v>0</v>
      </c>
      <c r="I267" s="3">
        <v>0</v>
      </c>
      <c r="K267" s="3">
        <v>0</v>
      </c>
      <c r="L267" s="3">
        <v>0</v>
      </c>
      <c r="M267" s="3">
        <v>0</v>
      </c>
    </row>
    <row r="268" spans="1:13">
      <c r="A268" t="s">
        <v>18</v>
      </c>
      <c r="C268" s="3">
        <v>0</v>
      </c>
      <c r="D268" s="3">
        <v>0</v>
      </c>
      <c r="E268" s="3">
        <v>0</v>
      </c>
      <c r="G268" s="3">
        <v>0</v>
      </c>
      <c r="H268" s="3">
        <v>0</v>
      </c>
      <c r="I268" s="3">
        <v>0</v>
      </c>
      <c r="K268" s="3">
        <v>0</v>
      </c>
      <c r="L268" s="3">
        <v>0</v>
      </c>
      <c r="M268" s="3">
        <v>0</v>
      </c>
    </row>
    <row r="269" spans="1:13">
      <c r="A269" t="s">
        <v>19</v>
      </c>
      <c r="C269" s="3">
        <f>C265*C268*C267-C267</f>
        <v>0</v>
      </c>
      <c r="D269" s="3">
        <f>D265*D268*D267-D267</f>
        <v>0</v>
      </c>
      <c r="E269" s="3">
        <f>E265*E268*E267-E267</f>
        <v>0</v>
      </c>
      <c r="G269" s="3">
        <f>G265*G268*G267-G267</f>
        <v>0</v>
      </c>
      <c r="H269" s="3">
        <f>H265*H268*H267-H267</f>
        <v>0</v>
      </c>
      <c r="I269" s="3">
        <f>I265*I268*I267-I267</f>
        <v>0</v>
      </c>
      <c r="K269" s="3">
        <f>K265*K268*K267-K267</f>
        <v>0</v>
      </c>
      <c r="L269" s="3">
        <f>L265*L268*L267-L267</f>
        <v>0</v>
      </c>
      <c r="M269" s="3">
        <f>M265*M268*M267-M267</f>
        <v>0</v>
      </c>
    </row>
    <row r="271" spans="1:13">
      <c r="A271" s="1" t="s">
        <v>49</v>
      </c>
      <c r="C271" s="1" t="s">
        <v>1</v>
      </c>
      <c r="E271" s="1">
        <f>0+C278+D278+E278 + E262</f>
        <v>0</v>
      </c>
      <c r="G271" s="1" t="s">
        <v>2</v>
      </c>
      <c r="I271" s="1">
        <f>0+G278+H278+I278 + I262</f>
        <v>0</v>
      </c>
      <c r="K271" s="1" t="s">
        <v>3</v>
      </c>
      <c r="M271" s="1">
        <f>0+K278+L278+M278 + M262</f>
        <v>0</v>
      </c>
    </row>
    <row r="272" spans="1:13">
      <c r="A272" t="s">
        <v>53</v>
      </c>
      <c r="C272" s="2" t="s">
        <v>5</v>
      </c>
      <c r="D272" s="2" t="s">
        <v>6</v>
      </c>
      <c r="E272" s="2" t="s">
        <v>7</v>
      </c>
      <c r="G272" s="2" t="s">
        <v>8</v>
      </c>
      <c r="H272" s="2" t="s">
        <v>9</v>
      </c>
      <c r="I272" s="2" t="s">
        <v>10</v>
      </c>
      <c r="K272" s="2" t="s">
        <v>11</v>
      </c>
      <c r="L272" s="2" t="s">
        <v>12</v>
      </c>
      <c r="M272" s="2" t="s">
        <v>13</v>
      </c>
    </row>
    <row r="273" spans="1:13">
      <c r="A273" t="s">
        <v>14</v>
      </c>
      <c r="C273" s="3">
        <v>2.3820000000000001</v>
      </c>
      <c r="D273" s="3">
        <v>7.4029999999999996</v>
      </c>
      <c r="E273" s="3">
        <v>2.246</v>
      </c>
      <c r="G273" s="3">
        <v>3.8959999999999999</v>
      </c>
      <c r="H273" s="3">
        <v>1.623</v>
      </c>
      <c r="I273" s="3">
        <v>7.8570000000000002</v>
      </c>
      <c r="K273" s="3">
        <v>3.278</v>
      </c>
      <c r="L273" s="3">
        <v>3.3170000000000002</v>
      </c>
      <c r="M273" s="3">
        <v>2.54</v>
      </c>
    </row>
    <row r="274" spans="1:13">
      <c r="A274" t="s">
        <v>15</v>
      </c>
      <c r="C274" s="3">
        <v>0</v>
      </c>
      <c r="D274" s="3">
        <v>0</v>
      </c>
      <c r="E274" s="3">
        <v>0</v>
      </c>
      <c r="G274" s="3">
        <v>0</v>
      </c>
      <c r="H274" s="3">
        <v>0</v>
      </c>
      <c r="I274" s="3">
        <v>0</v>
      </c>
      <c r="K274" s="3">
        <v>0</v>
      </c>
      <c r="L274" s="3">
        <v>0</v>
      </c>
      <c r="M274" s="3">
        <v>0</v>
      </c>
    </row>
    <row r="275" spans="1:13">
      <c r="A275" t="s">
        <v>16</v>
      </c>
      <c r="C275" s="3">
        <f>C274/C273</f>
        <v>0</v>
      </c>
      <c r="D275" s="3">
        <f>D274/D273</f>
        <v>0</v>
      </c>
      <c r="E275" s="3">
        <f>E274/E273</f>
        <v>0</v>
      </c>
      <c r="G275" s="3">
        <f>G274/G273</f>
        <v>0</v>
      </c>
      <c r="H275" s="3">
        <f>H274/H273</f>
        <v>0</v>
      </c>
      <c r="I275" s="3">
        <f>I274/I273</f>
        <v>0</v>
      </c>
      <c r="K275" s="3">
        <f>K274/K273</f>
        <v>0</v>
      </c>
      <c r="L275" s="3">
        <f>L274/L273</f>
        <v>0</v>
      </c>
      <c r="M275" s="3">
        <f>M274/M273</f>
        <v>0</v>
      </c>
    </row>
    <row r="276" spans="1:13">
      <c r="A276" t="s">
        <v>17</v>
      </c>
      <c r="C276" s="3">
        <v>0</v>
      </c>
      <c r="D276" s="3">
        <v>0</v>
      </c>
      <c r="E276" s="3">
        <v>0</v>
      </c>
      <c r="G276" s="3">
        <v>0</v>
      </c>
      <c r="H276" s="3">
        <v>0</v>
      </c>
      <c r="I276" s="3">
        <v>0</v>
      </c>
      <c r="K276" s="3">
        <v>0</v>
      </c>
      <c r="L276" s="3">
        <v>0</v>
      </c>
      <c r="M276" s="3">
        <v>0</v>
      </c>
    </row>
    <row r="277" spans="1:13">
      <c r="A277" t="s">
        <v>18</v>
      </c>
      <c r="C277" s="3">
        <v>0</v>
      </c>
      <c r="D277" s="3">
        <v>0</v>
      </c>
      <c r="E277" s="3">
        <v>0</v>
      </c>
      <c r="G277" s="3">
        <v>0</v>
      </c>
      <c r="H277" s="3">
        <v>0</v>
      </c>
      <c r="I277" s="3">
        <v>0</v>
      </c>
      <c r="K277" s="3">
        <v>0</v>
      </c>
      <c r="L277" s="3">
        <v>0</v>
      </c>
      <c r="M277" s="3">
        <v>0</v>
      </c>
    </row>
    <row r="278" spans="1:13">
      <c r="A278" t="s">
        <v>19</v>
      </c>
      <c r="C278" s="3">
        <f>C274*C277*C276-C276</f>
        <v>0</v>
      </c>
      <c r="D278" s="3">
        <f>D274*D277*D276-D276</f>
        <v>0</v>
      </c>
      <c r="E278" s="3">
        <f>E274*E277*E276-E276</f>
        <v>0</v>
      </c>
      <c r="G278" s="3">
        <f>G274*G277*G276-G276</f>
        <v>0</v>
      </c>
      <c r="H278" s="3">
        <f>H274*H277*H276-H276</f>
        <v>0</v>
      </c>
      <c r="I278" s="3">
        <f>I274*I277*I276-I276</f>
        <v>0</v>
      </c>
      <c r="K278" s="3">
        <f>K274*K277*K276-K276</f>
        <v>0</v>
      </c>
      <c r="L278" s="3">
        <f>L274*L277*L276-L276</f>
        <v>0</v>
      </c>
      <c r="M278" s="3">
        <f>M274*M277*M276-M276</f>
        <v>0</v>
      </c>
    </row>
    <row r="280" spans="1:13">
      <c r="A280" s="1" t="s">
        <v>49</v>
      </c>
      <c r="C280" s="1" t="s">
        <v>1</v>
      </c>
      <c r="E280" s="1">
        <f>0+C287+D287+E287 + E271</f>
        <v>0</v>
      </c>
      <c r="G280" s="1" t="s">
        <v>2</v>
      </c>
      <c r="I280" s="1">
        <f>0+G287+H287+I287 + I271</f>
        <v>0</v>
      </c>
      <c r="K280" s="1" t="s">
        <v>3</v>
      </c>
      <c r="M280" s="1">
        <f>0+K287+L287+M287 + M271</f>
        <v>0</v>
      </c>
    </row>
    <row r="281" spans="1:13">
      <c r="A281" t="s">
        <v>54</v>
      </c>
      <c r="C281" s="2" t="s">
        <v>5</v>
      </c>
      <c r="D281" s="2" t="s">
        <v>6</v>
      </c>
      <c r="E281" s="2" t="s">
        <v>7</v>
      </c>
      <c r="G281" s="2" t="s">
        <v>8</v>
      </c>
      <c r="H281" s="2" t="s">
        <v>9</v>
      </c>
      <c r="I281" s="2" t="s">
        <v>10</v>
      </c>
      <c r="K281" s="2" t="s">
        <v>11</v>
      </c>
      <c r="L281" s="2" t="s">
        <v>12</v>
      </c>
      <c r="M281" s="2" t="s">
        <v>13</v>
      </c>
    </row>
    <row r="282" spans="1:13">
      <c r="A282" t="s">
        <v>14</v>
      </c>
      <c r="C282" s="3">
        <v>6.9489999999999998</v>
      </c>
      <c r="D282" s="3">
        <v>2.76</v>
      </c>
      <c r="E282" s="3">
        <v>2.024</v>
      </c>
      <c r="G282" s="3">
        <v>8.7859999999999996</v>
      </c>
      <c r="H282" s="3">
        <v>6.6840000000000002</v>
      </c>
      <c r="I282" s="3">
        <v>1.357</v>
      </c>
      <c r="K282" s="3">
        <v>19.920999999999999</v>
      </c>
      <c r="L282" s="3">
        <v>1.1399999999999999</v>
      </c>
      <c r="M282" s="3">
        <v>13.662000000000001</v>
      </c>
    </row>
    <row r="283" spans="1:13">
      <c r="A283" t="s">
        <v>15</v>
      </c>
      <c r="C283" s="3">
        <v>0</v>
      </c>
      <c r="D283" s="3">
        <v>0</v>
      </c>
      <c r="E283" s="3">
        <v>0</v>
      </c>
      <c r="G283" s="3">
        <v>0</v>
      </c>
      <c r="H283" s="3">
        <v>0</v>
      </c>
      <c r="I283" s="3">
        <v>0</v>
      </c>
      <c r="K283" s="3">
        <v>0</v>
      </c>
      <c r="L283" s="3">
        <v>0</v>
      </c>
      <c r="M283" s="3">
        <v>0</v>
      </c>
    </row>
    <row r="284" spans="1:13">
      <c r="A284" t="s">
        <v>16</v>
      </c>
      <c r="C284" s="3">
        <f>C283/C282</f>
        <v>0</v>
      </c>
      <c r="D284" s="3">
        <f>D283/D282</f>
        <v>0</v>
      </c>
      <c r="E284" s="3">
        <f>E283/E282</f>
        <v>0</v>
      </c>
      <c r="G284" s="3">
        <f>G283/G282</f>
        <v>0</v>
      </c>
      <c r="H284" s="3">
        <f>H283/H282</f>
        <v>0</v>
      </c>
      <c r="I284" s="3">
        <f>I283/I282</f>
        <v>0</v>
      </c>
      <c r="K284" s="3">
        <f>K283/K282</f>
        <v>0</v>
      </c>
      <c r="L284" s="3">
        <f>L283/L282</f>
        <v>0</v>
      </c>
      <c r="M284" s="3">
        <f>M283/M282</f>
        <v>0</v>
      </c>
    </row>
    <row r="285" spans="1:13">
      <c r="A285" t="s">
        <v>17</v>
      </c>
      <c r="C285" s="3">
        <v>0</v>
      </c>
      <c r="D285" s="3">
        <v>0</v>
      </c>
      <c r="E285" s="3">
        <v>0</v>
      </c>
      <c r="G285" s="3">
        <v>0</v>
      </c>
      <c r="H285" s="3">
        <v>0</v>
      </c>
      <c r="I285" s="3">
        <v>0</v>
      </c>
      <c r="K285" s="3">
        <v>0</v>
      </c>
      <c r="L285" s="3">
        <v>0</v>
      </c>
      <c r="M285" s="3">
        <v>0</v>
      </c>
    </row>
    <row r="286" spans="1:13">
      <c r="A286" t="s">
        <v>18</v>
      </c>
      <c r="C286" s="3">
        <v>0</v>
      </c>
      <c r="D286" s="3">
        <v>0</v>
      </c>
      <c r="E286" s="3">
        <v>0</v>
      </c>
      <c r="G286" s="3">
        <v>0</v>
      </c>
      <c r="H286" s="3">
        <v>0</v>
      </c>
      <c r="I286" s="3">
        <v>0</v>
      </c>
      <c r="K286" s="3">
        <v>0</v>
      </c>
      <c r="L286" s="3">
        <v>0</v>
      </c>
      <c r="M286" s="3">
        <v>0</v>
      </c>
    </row>
    <row r="287" spans="1:13">
      <c r="A287" t="s">
        <v>19</v>
      </c>
      <c r="C287" s="3">
        <f>C283*C286*C285-C285</f>
        <v>0</v>
      </c>
      <c r="D287" s="3">
        <f>D283*D286*D285-D285</f>
        <v>0</v>
      </c>
      <c r="E287" s="3">
        <f>E283*E286*E285-E285</f>
        <v>0</v>
      </c>
      <c r="G287" s="3">
        <f>G283*G286*G285-G285</f>
        <v>0</v>
      </c>
      <c r="H287" s="3">
        <f>H283*H286*H285-H285</f>
        <v>0</v>
      </c>
      <c r="I287" s="3">
        <f>I283*I286*I285-I285</f>
        <v>0</v>
      </c>
      <c r="K287" s="3">
        <f>K283*K286*K285-K285</f>
        <v>0</v>
      </c>
      <c r="L287" s="3">
        <f>L283*L286*L285-L285</f>
        <v>0</v>
      </c>
      <c r="M287" s="3">
        <f>M283*M286*M285-M285</f>
        <v>0</v>
      </c>
    </row>
    <row r="289" spans="1:13">
      <c r="A289" s="1" t="s">
        <v>49</v>
      </c>
      <c r="C289" s="1" t="s">
        <v>1</v>
      </c>
      <c r="E289" s="1">
        <f>0+C296+D296+E296 + E280</f>
        <v>0</v>
      </c>
      <c r="G289" s="1" t="s">
        <v>2</v>
      </c>
      <c r="I289" s="1">
        <f>0+G296+H296+I296 + I280</f>
        <v>0</v>
      </c>
      <c r="K289" s="1" t="s">
        <v>3</v>
      </c>
      <c r="M289" s="1">
        <f>0+K296+L296+M296 + M280</f>
        <v>0</v>
      </c>
    </row>
    <row r="290" spans="1:13">
      <c r="A290" t="s">
        <v>55</v>
      </c>
      <c r="C290" s="2" t="s">
        <v>5</v>
      </c>
      <c r="D290" s="2" t="s">
        <v>6</v>
      </c>
      <c r="E290" s="2" t="s">
        <v>7</v>
      </c>
      <c r="G290" s="2" t="s">
        <v>8</v>
      </c>
      <c r="H290" s="2" t="s">
        <v>9</v>
      </c>
      <c r="I290" s="2" t="s">
        <v>10</v>
      </c>
      <c r="K290" s="2" t="s">
        <v>11</v>
      </c>
      <c r="L290" s="2" t="s">
        <v>12</v>
      </c>
      <c r="M290" s="2" t="s">
        <v>13</v>
      </c>
    </row>
    <row r="291" spans="1:13">
      <c r="A291" t="s">
        <v>14</v>
      </c>
      <c r="C291" s="3">
        <v>3.4369999999999998</v>
      </c>
      <c r="D291" s="3">
        <v>4.6890000000000001</v>
      </c>
      <c r="E291" s="3">
        <v>2.016</v>
      </c>
      <c r="G291" s="3">
        <v>3.5720000000000001</v>
      </c>
      <c r="H291" s="3">
        <v>1.728</v>
      </c>
      <c r="I291" s="3">
        <v>7.0579999999999998</v>
      </c>
      <c r="K291" s="3">
        <v>1.3819999999999999</v>
      </c>
      <c r="L291" s="3">
        <v>49.301000000000002</v>
      </c>
      <c r="M291" s="3">
        <v>3.903</v>
      </c>
    </row>
    <row r="292" spans="1:13">
      <c r="A292" t="s">
        <v>15</v>
      </c>
      <c r="C292" s="3">
        <v>0</v>
      </c>
      <c r="D292" s="3">
        <v>0</v>
      </c>
      <c r="E292" s="3">
        <v>0</v>
      </c>
      <c r="G292" s="3">
        <v>0</v>
      </c>
      <c r="H292" s="3">
        <v>0</v>
      </c>
      <c r="I292" s="3">
        <v>0</v>
      </c>
      <c r="K292" s="3">
        <v>0</v>
      </c>
      <c r="L292" s="3">
        <v>0</v>
      </c>
      <c r="M292" s="3">
        <v>0</v>
      </c>
    </row>
    <row r="293" spans="1:13">
      <c r="A293" t="s">
        <v>16</v>
      </c>
      <c r="C293" s="3">
        <f>C292/C291</f>
        <v>0</v>
      </c>
      <c r="D293" s="3">
        <f>D292/D291</f>
        <v>0</v>
      </c>
      <c r="E293" s="3">
        <f>E292/E291</f>
        <v>0</v>
      </c>
      <c r="G293" s="3">
        <f>G292/G291</f>
        <v>0</v>
      </c>
      <c r="H293" s="3">
        <f>H292/H291</f>
        <v>0</v>
      </c>
      <c r="I293" s="3">
        <f>I292/I291</f>
        <v>0</v>
      </c>
      <c r="K293" s="3">
        <f>K292/K291</f>
        <v>0</v>
      </c>
      <c r="L293" s="3">
        <f>L292/L291</f>
        <v>0</v>
      </c>
      <c r="M293" s="3">
        <f>M292/M291</f>
        <v>0</v>
      </c>
    </row>
    <row r="294" spans="1:13">
      <c r="A294" t="s">
        <v>17</v>
      </c>
      <c r="C294" s="3">
        <v>0</v>
      </c>
      <c r="D294" s="3">
        <v>0</v>
      </c>
      <c r="E294" s="3">
        <v>0</v>
      </c>
      <c r="G294" s="3">
        <v>0</v>
      </c>
      <c r="H294" s="3">
        <v>0</v>
      </c>
      <c r="I294" s="3">
        <v>0</v>
      </c>
      <c r="K294" s="3">
        <v>0</v>
      </c>
      <c r="L294" s="3">
        <v>0</v>
      </c>
      <c r="M294" s="3">
        <v>0</v>
      </c>
    </row>
    <row r="295" spans="1:13">
      <c r="A295" t="s">
        <v>18</v>
      </c>
      <c r="C295" s="3">
        <v>0</v>
      </c>
      <c r="D295" s="3">
        <v>0</v>
      </c>
      <c r="E295" s="3">
        <v>0</v>
      </c>
      <c r="G295" s="3">
        <v>0</v>
      </c>
      <c r="H295" s="3">
        <v>0</v>
      </c>
      <c r="I295" s="3">
        <v>0</v>
      </c>
      <c r="K295" s="3">
        <v>0</v>
      </c>
      <c r="L295" s="3">
        <v>0</v>
      </c>
      <c r="M295" s="3">
        <v>0</v>
      </c>
    </row>
    <row r="296" spans="1:13">
      <c r="A296" t="s">
        <v>19</v>
      </c>
      <c r="C296" s="3">
        <f>C292*C295*C294-C294</f>
        <v>0</v>
      </c>
      <c r="D296" s="3">
        <f>D292*D295*D294-D294</f>
        <v>0</v>
      </c>
      <c r="E296" s="3">
        <f>E292*E295*E294-E294</f>
        <v>0</v>
      </c>
      <c r="G296" s="3">
        <f>G292*G295*G294-G294</f>
        <v>0</v>
      </c>
      <c r="H296" s="3">
        <f>H292*H295*H294-H294</f>
        <v>0</v>
      </c>
      <c r="I296" s="3">
        <f>I292*I295*I294-I294</f>
        <v>0</v>
      </c>
      <c r="K296" s="3">
        <f>K292*K295*K294-K294</f>
        <v>0</v>
      </c>
      <c r="L296" s="3">
        <f>L292*L295*L294-L294</f>
        <v>0</v>
      </c>
      <c r="M296" s="3">
        <f>M292*M295*M294-M294</f>
        <v>0</v>
      </c>
    </row>
    <row r="298" spans="1:13">
      <c r="A298" s="1" t="s">
        <v>49</v>
      </c>
      <c r="C298" s="1" t="s">
        <v>1</v>
      </c>
      <c r="E298" s="1">
        <f>0+C305+D305+E305 + E289</f>
        <v>0</v>
      </c>
      <c r="G298" s="1" t="s">
        <v>2</v>
      </c>
      <c r="I298" s="1">
        <f>0+G305+H305+I305 + I289</f>
        <v>0</v>
      </c>
      <c r="K298" s="1" t="s">
        <v>3</v>
      </c>
      <c r="M298" s="1">
        <f>0+K305+L305+M305 + M289</f>
        <v>0</v>
      </c>
    </row>
    <row r="299" spans="1:13">
      <c r="A299" t="s">
        <v>56</v>
      </c>
      <c r="C299" s="2" t="s">
        <v>5</v>
      </c>
      <c r="D299" s="2" t="s">
        <v>6</v>
      </c>
      <c r="E299" s="2" t="s">
        <v>7</v>
      </c>
      <c r="G299" s="2" t="s">
        <v>8</v>
      </c>
      <c r="H299" s="2" t="s">
        <v>9</v>
      </c>
      <c r="I299" s="2" t="s">
        <v>10</v>
      </c>
      <c r="K299" s="2" t="s">
        <v>11</v>
      </c>
      <c r="L299" s="2" t="s">
        <v>12</v>
      </c>
      <c r="M299" s="2" t="s">
        <v>13</v>
      </c>
    </row>
    <row r="300" spans="1:13">
      <c r="A300" t="s">
        <v>14</v>
      </c>
      <c r="C300" s="3">
        <v>1.9019999999999999</v>
      </c>
      <c r="D300" s="3">
        <v>2.3719999999999999</v>
      </c>
      <c r="E300" s="3">
        <v>18.898</v>
      </c>
      <c r="G300" s="3">
        <v>3.0670000000000002</v>
      </c>
      <c r="H300" s="3">
        <v>6.5919999999999996</v>
      </c>
      <c r="I300" s="3">
        <v>1.9139999999999999</v>
      </c>
      <c r="K300" s="3">
        <v>1.4019999999999999</v>
      </c>
      <c r="L300" s="3">
        <v>4.2</v>
      </c>
      <c r="M300" s="3">
        <v>20.446999999999999</v>
      </c>
    </row>
    <row r="301" spans="1:13">
      <c r="A301" t="s">
        <v>15</v>
      </c>
      <c r="C301" s="3">
        <v>0</v>
      </c>
      <c r="D301" s="3">
        <v>0</v>
      </c>
      <c r="E301" s="3">
        <v>0</v>
      </c>
      <c r="G301" s="3">
        <v>0</v>
      </c>
      <c r="H301" s="3">
        <v>0</v>
      </c>
      <c r="I301" s="3">
        <v>0</v>
      </c>
      <c r="K301" s="3">
        <v>0</v>
      </c>
      <c r="L301" s="3">
        <v>0</v>
      </c>
      <c r="M301" s="3">
        <v>0</v>
      </c>
    </row>
    <row r="302" spans="1:13">
      <c r="A302" t="s">
        <v>16</v>
      </c>
      <c r="C302" s="3">
        <f>C301/C300</f>
        <v>0</v>
      </c>
      <c r="D302" s="3">
        <f>D301/D300</f>
        <v>0</v>
      </c>
      <c r="E302" s="3">
        <f>E301/E300</f>
        <v>0</v>
      </c>
      <c r="G302" s="3">
        <f>G301/G300</f>
        <v>0</v>
      </c>
      <c r="H302" s="3">
        <f>H301/H300</f>
        <v>0</v>
      </c>
      <c r="I302" s="3">
        <f>I301/I300</f>
        <v>0</v>
      </c>
      <c r="K302" s="3">
        <f>K301/K300</f>
        <v>0</v>
      </c>
      <c r="L302" s="3">
        <f>L301/L300</f>
        <v>0</v>
      </c>
      <c r="M302" s="3">
        <f>M301/M300</f>
        <v>0</v>
      </c>
    </row>
    <row r="303" spans="1:13">
      <c r="A303" t="s">
        <v>17</v>
      </c>
      <c r="C303" s="3">
        <v>0</v>
      </c>
      <c r="D303" s="3">
        <v>0</v>
      </c>
      <c r="E303" s="3">
        <v>0</v>
      </c>
      <c r="G303" s="3">
        <v>0</v>
      </c>
      <c r="H303" s="3">
        <v>0</v>
      </c>
      <c r="I303" s="3">
        <v>0</v>
      </c>
      <c r="K303" s="3">
        <v>0</v>
      </c>
      <c r="L303" s="3">
        <v>0</v>
      </c>
      <c r="M303" s="3">
        <v>0</v>
      </c>
    </row>
    <row r="304" spans="1:13">
      <c r="A304" t="s">
        <v>18</v>
      </c>
      <c r="C304" s="3">
        <v>0</v>
      </c>
      <c r="D304" s="3">
        <v>0</v>
      </c>
      <c r="E304" s="3">
        <v>0</v>
      </c>
      <c r="G304" s="3">
        <v>0</v>
      </c>
      <c r="H304" s="3">
        <v>0</v>
      </c>
      <c r="I304" s="3">
        <v>0</v>
      </c>
      <c r="K304" s="3">
        <v>0</v>
      </c>
      <c r="L304" s="3">
        <v>0</v>
      </c>
      <c r="M304" s="3">
        <v>0</v>
      </c>
    </row>
    <row r="305" spans="1:13">
      <c r="A305" t="s">
        <v>19</v>
      </c>
      <c r="C305" s="3">
        <f>C301*C304*C303-C303</f>
        <v>0</v>
      </c>
      <c r="D305" s="3">
        <f>D301*D304*D303-D303</f>
        <v>0</v>
      </c>
      <c r="E305" s="3">
        <f>E301*E304*E303-E303</f>
        <v>0</v>
      </c>
      <c r="G305" s="3">
        <f>G301*G304*G303-G303</f>
        <v>0</v>
      </c>
      <c r="H305" s="3">
        <f>H301*H304*H303-H303</f>
        <v>0</v>
      </c>
      <c r="I305" s="3">
        <f>I301*I304*I303-I303</f>
        <v>0</v>
      </c>
      <c r="K305" s="3">
        <f>K301*K304*K303-K303</f>
        <v>0</v>
      </c>
      <c r="L305" s="3">
        <f>L301*L304*L303-L303</f>
        <v>0</v>
      </c>
      <c r="M305" s="3">
        <f>M301*M304*M303-M303</f>
        <v>0</v>
      </c>
    </row>
    <row r="307" spans="1:13" s="5" customFormat="1">
      <c r="A307" s="4" t="s">
        <v>42</v>
      </c>
      <c r="C307" s="4" t="s">
        <v>1</v>
      </c>
      <c r="E307" s="4">
        <f>0+C314+D314+E314 + E298</f>
        <v>1.9900000000000002</v>
      </c>
      <c r="G307" s="4" t="s">
        <v>2</v>
      </c>
      <c r="I307" s="4">
        <f>0+G314+H314+I314 + I298</f>
        <v>-1</v>
      </c>
      <c r="K307" s="4" t="s">
        <v>3</v>
      </c>
      <c r="M307" s="4">
        <f>0+K314+L314+M314 + M298</f>
        <v>2.06</v>
      </c>
    </row>
    <row r="308" spans="1:13">
      <c r="A308" t="s">
        <v>57</v>
      </c>
      <c r="C308" s="2" t="s">
        <v>5</v>
      </c>
      <c r="D308" s="2" t="s">
        <v>6</v>
      </c>
      <c r="E308" s="2" t="s">
        <v>7</v>
      </c>
      <c r="G308" s="2" t="s">
        <v>8</v>
      </c>
      <c r="H308" s="2" t="s">
        <v>9</v>
      </c>
      <c r="I308" s="2" t="s">
        <v>10</v>
      </c>
      <c r="K308" s="2" t="s">
        <v>11</v>
      </c>
      <c r="L308" s="2" t="s">
        <v>12</v>
      </c>
      <c r="M308" s="2" t="s">
        <v>13</v>
      </c>
    </row>
    <row r="309" spans="1:13">
      <c r="A309" t="s">
        <v>14</v>
      </c>
      <c r="C309" s="3">
        <v>2.2770000000000001</v>
      </c>
      <c r="D309" s="3">
        <v>5.5010000000000003</v>
      </c>
      <c r="E309" s="3">
        <v>2.6339999999999999</v>
      </c>
      <c r="G309" s="3">
        <v>7.7510000000000003</v>
      </c>
      <c r="H309" s="3">
        <v>3.0270000000000001</v>
      </c>
      <c r="I309" s="3">
        <v>1.849</v>
      </c>
      <c r="K309" s="3">
        <v>1.4350000000000001</v>
      </c>
      <c r="L309" s="3">
        <v>4.7370000000000001</v>
      </c>
      <c r="M309" s="3">
        <v>10.826000000000001</v>
      </c>
    </row>
    <row r="310" spans="1:13">
      <c r="A310" t="s">
        <v>15</v>
      </c>
      <c r="C310" s="3">
        <v>2.99</v>
      </c>
      <c r="D310" s="3">
        <v>3.57</v>
      </c>
      <c r="E310" s="3">
        <v>2.41</v>
      </c>
      <c r="G310" s="3">
        <v>3.37</v>
      </c>
      <c r="H310" s="3">
        <v>2.33</v>
      </c>
      <c r="I310" s="3">
        <v>3.11</v>
      </c>
      <c r="K310" s="3">
        <v>3.06</v>
      </c>
      <c r="L310" s="3">
        <v>2.79</v>
      </c>
      <c r="M310" s="3">
        <v>2.77</v>
      </c>
    </row>
    <row r="311" spans="1:13">
      <c r="A311" t="s">
        <v>16</v>
      </c>
      <c r="C311" s="3">
        <f>C310/C309</f>
        <v>1.3131313131313131</v>
      </c>
      <c r="D311" s="3">
        <f>D310/D309</f>
        <v>0.64897291401563351</v>
      </c>
      <c r="E311" s="3">
        <f>E310/E309</f>
        <v>0.91495823842065305</v>
      </c>
      <c r="G311" s="3">
        <f>G310/G309</f>
        <v>0.43478260869565216</v>
      </c>
      <c r="H311" s="3">
        <f>H310/H309</f>
        <v>0.76973901552692436</v>
      </c>
      <c r="I311" s="3">
        <f>I310/I309</f>
        <v>1.6819902650081124</v>
      </c>
      <c r="K311" s="3">
        <f>K310/K309</f>
        <v>2.1324041811846688</v>
      </c>
      <c r="L311" s="3">
        <f>L310/L309</f>
        <v>0.58898036732108927</v>
      </c>
      <c r="M311" s="3">
        <f>M310/M309</f>
        <v>0.25586550895991134</v>
      </c>
    </row>
    <row r="312" spans="1:13">
      <c r="A312" t="s">
        <v>17</v>
      </c>
      <c r="C312" s="3">
        <v>1</v>
      </c>
      <c r="D312" s="3">
        <v>0</v>
      </c>
      <c r="E312" s="3">
        <v>0</v>
      </c>
      <c r="G312" s="3">
        <v>0</v>
      </c>
      <c r="H312" s="3">
        <v>0</v>
      </c>
      <c r="I312" s="3">
        <v>1</v>
      </c>
      <c r="K312" s="3">
        <v>1</v>
      </c>
      <c r="L312" s="3">
        <v>0</v>
      </c>
      <c r="M312" s="3">
        <v>0</v>
      </c>
    </row>
    <row r="313" spans="1:13">
      <c r="A313" t="s">
        <v>18</v>
      </c>
      <c r="C313" s="3">
        <v>1</v>
      </c>
      <c r="D313" s="3">
        <v>0</v>
      </c>
      <c r="E313" s="3">
        <v>0</v>
      </c>
      <c r="G313" s="3">
        <v>1</v>
      </c>
      <c r="H313" s="3">
        <v>0</v>
      </c>
      <c r="I313" s="3">
        <v>0</v>
      </c>
      <c r="K313" s="3">
        <v>1</v>
      </c>
      <c r="L313" s="3">
        <v>0</v>
      </c>
      <c r="M313" s="3">
        <v>0</v>
      </c>
    </row>
    <row r="314" spans="1:13">
      <c r="A314" t="s">
        <v>19</v>
      </c>
      <c r="C314" s="3">
        <f>C310*C313*C312-C312</f>
        <v>1.9900000000000002</v>
      </c>
      <c r="D314" s="3">
        <f>D310*D313*D312-D312</f>
        <v>0</v>
      </c>
      <c r="E314" s="3">
        <f>E310*E313*E312-E312</f>
        <v>0</v>
      </c>
      <c r="G314" s="3">
        <f>G310*G313*G312-G312</f>
        <v>0</v>
      </c>
      <c r="H314" s="3">
        <f>H310*H313*H312-H312</f>
        <v>0</v>
      </c>
      <c r="I314" s="3">
        <f>I310*I313*I312-I312</f>
        <v>-1</v>
      </c>
      <c r="K314" s="3">
        <f>K310*K313*K312-K312</f>
        <v>2.06</v>
      </c>
      <c r="L314" s="3">
        <f>L310*L313*L312-L312</f>
        <v>0</v>
      </c>
      <c r="M314" s="3">
        <f>M310*M313*M312-M312</f>
        <v>0</v>
      </c>
    </row>
    <row r="316" spans="1:13">
      <c r="A316" s="1" t="s">
        <v>42</v>
      </c>
      <c r="C316" s="1" t="s">
        <v>1</v>
      </c>
      <c r="E316" s="1">
        <f>0+C323+D323+E323 + E307</f>
        <v>2.1500000000000004</v>
      </c>
      <c r="G316" s="1" t="s">
        <v>2</v>
      </c>
      <c r="I316" s="1">
        <f>0+G323+H323+I323 + I307</f>
        <v>-2</v>
      </c>
      <c r="K316" s="1" t="s">
        <v>3</v>
      </c>
      <c r="M316" s="1">
        <f>0+K323+L323+M323 + M307</f>
        <v>1.06</v>
      </c>
    </row>
    <row r="317" spans="1:13">
      <c r="A317" t="s">
        <v>58</v>
      </c>
      <c r="C317" s="2" t="s">
        <v>5</v>
      </c>
      <c r="D317" s="2" t="s">
        <v>6</v>
      </c>
      <c r="E317" s="2" t="s">
        <v>7</v>
      </c>
      <c r="G317" s="2" t="s">
        <v>8</v>
      </c>
      <c r="H317" s="2" t="s">
        <v>9</v>
      </c>
      <c r="I317" s="2" t="s">
        <v>10</v>
      </c>
      <c r="K317" s="2" t="s">
        <v>11</v>
      </c>
      <c r="L317" s="2" t="s">
        <v>12</v>
      </c>
      <c r="M317" s="2" t="s">
        <v>13</v>
      </c>
    </row>
    <row r="318" spans="1:13">
      <c r="A318" t="s">
        <v>14</v>
      </c>
      <c r="C318" s="3">
        <v>1.0920000000000001</v>
      </c>
      <c r="D318" s="3">
        <v>29.067</v>
      </c>
      <c r="E318" s="3">
        <v>19.949000000000002</v>
      </c>
      <c r="G318" s="3">
        <v>1.611</v>
      </c>
      <c r="H318" s="3">
        <v>4.117</v>
      </c>
      <c r="I318" s="3">
        <v>7.3280000000000003</v>
      </c>
      <c r="K318" s="3">
        <v>1.1439999999999999</v>
      </c>
      <c r="L318" s="3">
        <v>13.927</v>
      </c>
      <c r="M318" s="3">
        <v>18.405999999999999</v>
      </c>
    </row>
    <row r="319" spans="1:13">
      <c r="A319" t="s">
        <v>15</v>
      </c>
      <c r="C319" s="3">
        <v>1.1599999999999999</v>
      </c>
      <c r="D319" s="3">
        <v>8.52</v>
      </c>
      <c r="E319" s="3">
        <v>19.399999999999999</v>
      </c>
      <c r="G319" s="3">
        <v>1.5</v>
      </c>
      <c r="H319" s="3">
        <v>3.37</v>
      </c>
      <c r="I319" s="3">
        <v>12.4</v>
      </c>
      <c r="K319" s="3">
        <v>1.33</v>
      </c>
      <c r="L319" s="3">
        <v>4.7300000000000004</v>
      </c>
      <c r="M319" s="3">
        <v>11.9</v>
      </c>
    </row>
    <row r="320" spans="1:13">
      <c r="A320" t="s">
        <v>16</v>
      </c>
      <c r="C320" s="3">
        <f>C319/C318</f>
        <v>1.062271062271062</v>
      </c>
      <c r="D320" s="3">
        <f>D319/D318</f>
        <v>0.29311590463412113</v>
      </c>
      <c r="E320" s="3">
        <f>E319/E318</f>
        <v>0.97247982355005247</v>
      </c>
      <c r="G320" s="3">
        <f>G319/G318</f>
        <v>0.93109869646182497</v>
      </c>
      <c r="H320" s="3">
        <f>H319/H318</f>
        <v>0.81855720184600445</v>
      </c>
      <c r="I320" s="3">
        <f>I319/I318</f>
        <v>1.6921397379912664</v>
      </c>
      <c r="K320" s="3">
        <f>K319/K318</f>
        <v>1.1625874125874127</v>
      </c>
      <c r="L320" s="3">
        <f>L319/L318</f>
        <v>0.33962806060170897</v>
      </c>
      <c r="M320" s="3">
        <f>M319/M318</f>
        <v>0.64652830598717814</v>
      </c>
    </row>
    <row r="321" spans="1:13">
      <c r="A321" t="s">
        <v>17</v>
      </c>
      <c r="C321" s="3">
        <v>1</v>
      </c>
      <c r="D321" s="3">
        <v>0</v>
      </c>
      <c r="E321" s="3">
        <v>0</v>
      </c>
      <c r="G321" s="3">
        <v>0</v>
      </c>
      <c r="H321" s="3">
        <v>0</v>
      </c>
      <c r="I321" s="3">
        <v>1</v>
      </c>
      <c r="K321" s="3">
        <v>1</v>
      </c>
      <c r="L321" s="3">
        <v>0</v>
      </c>
      <c r="M321" s="3">
        <v>0</v>
      </c>
    </row>
    <row r="322" spans="1:13">
      <c r="A322" t="s">
        <v>18</v>
      </c>
      <c r="C322" s="3">
        <v>1</v>
      </c>
      <c r="D322" s="3">
        <v>0</v>
      </c>
      <c r="E322" s="3">
        <v>0</v>
      </c>
      <c r="G322" s="3">
        <v>1</v>
      </c>
      <c r="H322" s="3">
        <v>0</v>
      </c>
      <c r="I322" s="3">
        <v>0</v>
      </c>
      <c r="K322" s="3">
        <v>0</v>
      </c>
      <c r="L322" s="3">
        <v>1</v>
      </c>
      <c r="M322" s="3">
        <v>0</v>
      </c>
    </row>
    <row r="323" spans="1:13">
      <c r="A323" t="s">
        <v>19</v>
      </c>
      <c r="C323" s="3">
        <f>C319*C322*C321-C321</f>
        <v>0.15999999999999992</v>
      </c>
      <c r="D323" s="3">
        <f>D319*D322*D321-D321</f>
        <v>0</v>
      </c>
      <c r="E323" s="3">
        <f>E319*E322*E321-E321</f>
        <v>0</v>
      </c>
      <c r="G323" s="3">
        <f>G319*G322*G321-G321</f>
        <v>0</v>
      </c>
      <c r="H323" s="3">
        <f>H319*H322*H321-H321</f>
        <v>0</v>
      </c>
      <c r="I323" s="3">
        <f>I319*I322*I321-I321</f>
        <v>-1</v>
      </c>
      <c r="K323" s="3">
        <f>K319*K322*K321-K321</f>
        <v>-1</v>
      </c>
      <c r="L323" s="3">
        <f>L319*L322*L321-L321</f>
        <v>0</v>
      </c>
      <c r="M323" s="3">
        <f>M319*M322*M321-M321</f>
        <v>0</v>
      </c>
    </row>
    <row r="325" spans="1:13">
      <c r="A325" s="1" t="s">
        <v>42</v>
      </c>
      <c r="C325" s="1" t="s">
        <v>1</v>
      </c>
      <c r="E325" s="1">
        <f>0+C332+D332+E332 + E316</f>
        <v>2.7600000000000007</v>
      </c>
      <c r="G325" s="1" t="s">
        <v>2</v>
      </c>
      <c r="I325" s="1">
        <f>0+G332+H332+I332 + I316</f>
        <v>-3</v>
      </c>
      <c r="K325" s="1" t="s">
        <v>3</v>
      </c>
      <c r="M325" s="1">
        <f>0+K332+L332+M332 + M316</f>
        <v>2.0099999999999998</v>
      </c>
    </row>
    <row r="326" spans="1:13">
      <c r="A326" t="s">
        <v>59</v>
      </c>
      <c r="C326" s="2" t="s">
        <v>5</v>
      </c>
      <c r="D326" s="2" t="s">
        <v>6</v>
      </c>
      <c r="E326" s="2" t="s">
        <v>7</v>
      </c>
      <c r="G326" s="2" t="s">
        <v>8</v>
      </c>
      <c r="H326" s="2" t="s">
        <v>9</v>
      </c>
      <c r="I326" s="2" t="s">
        <v>10</v>
      </c>
      <c r="K326" s="2" t="s">
        <v>11</v>
      </c>
      <c r="L326" s="2" t="s">
        <v>12</v>
      </c>
      <c r="M326" s="2" t="s">
        <v>13</v>
      </c>
    </row>
    <row r="327" spans="1:13">
      <c r="A327" t="s">
        <v>14</v>
      </c>
      <c r="C327" s="3">
        <v>1.212</v>
      </c>
      <c r="D327" s="3">
        <v>19.085000000000001</v>
      </c>
      <c r="E327" s="3">
        <v>8.1549999999999994</v>
      </c>
      <c r="G327" s="3">
        <v>3.766</v>
      </c>
      <c r="H327" s="3">
        <v>4.9969999999999999</v>
      </c>
      <c r="I327" s="3">
        <v>1.871</v>
      </c>
      <c r="K327" s="3">
        <v>1.1559999999999999</v>
      </c>
      <c r="L327" s="3">
        <v>12.151</v>
      </c>
      <c r="M327" s="3">
        <v>18.847000000000001</v>
      </c>
    </row>
    <row r="328" spans="1:13">
      <c r="A328" t="s">
        <v>15</v>
      </c>
      <c r="C328" s="3">
        <v>1.61</v>
      </c>
      <c r="D328" s="3">
        <v>4.45</v>
      </c>
      <c r="E328" s="3">
        <v>5.39</v>
      </c>
      <c r="G328" s="3">
        <v>2.19</v>
      </c>
      <c r="H328" s="3">
        <v>2.5</v>
      </c>
      <c r="I328" s="3">
        <v>5.22</v>
      </c>
      <c r="K328" s="3">
        <v>1.95</v>
      </c>
      <c r="L328" s="3">
        <v>3.06</v>
      </c>
      <c r="M328" s="3">
        <v>4.79</v>
      </c>
    </row>
    <row r="329" spans="1:13">
      <c r="A329" t="s">
        <v>16</v>
      </c>
      <c r="C329" s="3">
        <f>C328/C327</f>
        <v>1.3283828382838285</v>
      </c>
      <c r="D329" s="3">
        <f>D328/D327</f>
        <v>0.23316740895991617</v>
      </c>
      <c r="E329" s="3">
        <f>E328/E327</f>
        <v>0.66094420600858372</v>
      </c>
      <c r="G329" s="3">
        <f>G328/G327</f>
        <v>0.58151885289431759</v>
      </c>
      <c r="H329" s="3">
        <f>H328/H327</f>
        <v>0.50030018010806487</v>
      </c>
      <c r="I329" s="3">
        <f>I328/I327</f>
        <v>2.7899518973810795</v>
      </c>
      <c r="K329" s="3">
        <f>K328/K327</f>
        <v>1.6868512110726643</v>
      </c>
      <c r="L329" s="3">
        <f>L328/L327</f>
        <v>0.2518311250102872</v>
      </c>
      <c r="M329" s="3">
        <f>M328/M327</f>
        <v>0.25415185440653681</v>
      </c>
    </row>
    <row r="330" spans="1:13">
      <c r="A330" t="s">
        <v>17</v>
      </c>
      <c r="C330" s="3">
        <v>1</v>
      </c>
      <c r="D330" s="3">
        <v>0</v>
      </c>
      <c r="E330" s="3">
        <v>0</v>
      </c>
      <c r="G330" s="3">
        <v>0</v>
      </c>
      <c r="H330" s="3">
        <v>0</v>
      </c>
      <c r="I330" s="3">
        <v>1</v>
      </c>
      <c r="K330" s="3">
        <v>1</v>
      </c>
      <c r="L330" s="3">
        <v>0</v>
      </c>
      <c r="M330" s="3">
        <v>0</v>
      </c>
    </row>
    <row r="331" spans="1:13">
      <c r="A331" t="s">
        <v>18</v>
      </c>
      <c r="C331" s="3">
        <v>1</v>
      </c>
      <c r="D331" s="3">
        <v>0</v>
      </c>
      <c r="E331" s="3">
        <v>0</v>
      </c>
      <c r="G331" s="3">
        <v>1</v>
      </c>
      <c r="H331" s="3">
        <v>0</v>
      </c>
      <c r="I331" s="3">
        <v>0</v>
      </c>
      <c r="K331" s="3">
        <v>1</v>
      </c>
      <c r="L331" s="3">
        <v>0</v>
      </c>
      <c r="M331" s="3">
        <v>0</v>
      </c>
    </row>
    <row r="332" spans="1:13">
      <c r="A332" t="s">
        <v>19</v>
      </c>
      <c r="C332" s="3">
        <f>C328*C331*C330-C330</f>
        <v>0.6100000000000001</v>
      </c>
      <c r="D332" s="3">
        <f>D328*D331*D330-D330</f>
        <v>0</v>
      </c>
      <c r="E332" s="3">
        <f>E328*E331*E330-E330</f>
        <v>0</v>
      </c>
      <c r="G332" s="3">
        <f>G328*G331*G330-G330</f>
        <v>0</v>
      </c>
      <c r="H332" s="3">
        <f>H328*H331*H330-H330</f>
        <v>0</v>
      </c>
      <c r="I332" s="3">
        <f>I328*I331*I330-I330</f>
        <v>-1</v>
      </c>
      <c r="K332" s="3">
        <f>K328*K331*K330-K330</f>
        <v>0.95</v>
      </c>
      <c r="L332" s="3">
        <f>L328*L331*L330-L330</f>
        <v>0</v>
      </c>
      <c r="M332" s="3">
        <f>M328*M331*M330-M330</f>
        <v>0</v>
      </c>
    </row>
    <row r="334" spans="1:13">
      <c r="A334" s="1" t="s">
        <v>42</v>
      </c>
      <c r="C334" s="1" t="s">
        <v>1</v>
      </c>
      <c r="E334" s="1">
        <f>0+C341+D341+E341 + E325</f>
        <v>3.0500000000000007</v>
      </c>
      <c r="G334" s="1" t="s">
        <v>2</v>
      </c>
      <c r="I334" s="1">
        <f>0+G341+H341+I341 + I325</f>
        <v>-4</v>
      </c>
      <c r="K334" s="1" t="s">
        <v>3</v>
      </c>
      <c r="M334" s="1">
        <f>0+K341+L341+M341 + M325</f>
        <v>2.5999999999999996</v>
      </c>
    </row>
    <row r="335" spans="1:13">
      <c r="A335" t="s">
        <v>60</v>
      </c>
      <c r="C335" s="2" t="s">
        <v>5</v>
      </c>
      <c r="D335" s="2" t="s">
        <v>6</v>
      </c>
      <c r="E335" s="2" t="s">
        <v>7</v>
      </c>
      <c r="G335" s="2" t="s">
        <v>8</v>
      </c>
      <c r="H335" s="2" t="s">
        <v>9</v>
      </c>
      <c r="I335" s="2" t="s">
        <v>10</v>
      </c>
      <c r="K335" s="2" t="s">
        <v>11</v>
      </c>
      <c r="L335" s="2" t="s">
        <v>12</v>
      </c>
      <c r="M335" s="2" t="s">
        <v>13</v>
      </c>
    </row>
    <row r="336" spans="1:13">
      <c r="A336" t="s">
        <v>14</v>
      </c>
      <c r="C336" s="3">
        <v>1.1319999999999999</v>
      </c>
      <c r="D336" s="3">
        <v>11.596</v>
      </c>
      <c r="E336" s="3">
        <v>32.597000000000001</v>
      </c>
      <c r="G336" s="3">
        <v>1.8320000000000001</v>
      </c>
      <c r="H336" s="3">
        <v>2.8149999999999999</v>
      </c>
      <c r="I336" s="3">
        <v>10.083</v>
      </c>
      <c r="K336" s="3">
        <v>1.1459999999999999</v>
      </c>
      <c r="L336" s="3">
        <v>17.425000000000001</v>
      </c>
      <c r="M336" s="3">
        <v>14.141</v>
      </c>
    </row>
    <row r="337" spans="1:14">
      <c r="A337" t="s">
        <v>15</v>
      </c>
      <c r="C337" s="3">
        <v>1.29</v>
      </c>
      <c r="D337" s="3">
        <v>6.59</v>
      </c>
      <c r="E337" s="3">
        <v>11.6</v>
      </c>
      <c r="G337" s="3">
        <v>1.7</v>
      </c>
      <c r="H337" s="3">
        <v>2.83</v>
      </c>
      <c r="I337" s="3">
        <v>9</v>
      </c>
      <c r="K337" s="3">
        <v>1.59</v>
      </c>
      <c r="L337" s="3">
        <v>3.44</v>
      </c>
      <c r="M337" s="3">
        <v>7.4</v>
      </c>
    </row>
    <row r="338" spans="1:14">
      <c r="A338" t="s">
        <v>16</v>
      </c>
      <c r="C338" s="3">
        <f>C337/C336</f>
        <v>1.1395759717314489</v>
      </c>
      <c r="D338" s="3">
        <f>D337/D336</f>
        <v>0.56829941359089342</v>
      </c>
      <c r="E338" s="3">
        <f>E337/E336</f>
        <v>0.35586096880080986</v>
      </c>
      <c r="G338" s="3">
        <f>G337/G336</f>
        <v>0.927947598253275</v>
      </c>
      <c r="H338" s="3">
        <f>H337/H336</f>
        <v>1.005328596802842</v>
      </c>
      <c r="I338" s="3">
        <f>I337/I336</f>
        <v>0.89259149062778931</v>
      </c>
      <c r="K338" s="3">
        <f>K337/K336</f>
        <v>1.3874345549738221</v>
      </c>
      <c r="L338" s="3">
        <f>L337/L336</f>
        <v>0.19741750358680057</v>
      </c>
      <c r="M338" s="3">
        <f>M337/M336</f>
        <v>0.52330103953044338</v>
      </c>
    </row>
    <row r="339" spans="1:14">
      <c r="A339" t="s">
        <v>17</v>
      </c>
      <c r="C339" s="3">
        <v>1</v>
      </c>
      <c r="D339" s="3">
        <v>0</v>
      </c>
      <c r="E339" s="3">
        <v>0</v>
      </c>
      <c r="G339" s="3">
        <v>0</v>
      </c>
      <c r="H339" s="3">
        <v>1</v>
      </c>
      <c r="I339" s="3">
        <v>0</v>
      </c>
      <c r="K339" s="3">
        <v>1</v>
      </c>
      <c r="L339" s="3">
        <v>0</v>
      </c>
      <c r="M339" s="3">
        <v>0</v>
      </c>
    </row>
    <row r="340" spans="1:14">
      <c r="A340" t="s">
        <v>18</v>
      </c>
      <c r="C340" s="3">
        <v>1</v>
      </c>
      <c r="D340" s="3">
        <v>0</v>
      </c>
      <c r="E340" s="3">
        <v>0</v>
      </c>
      <c r="G340" s="3">
        <v>1</v>
      </c>
      <c r="H340" s="3">
        <v>0</v>
      </c>
      <c r="I340" s="3">
        <v>0</v>
      </c>
      <c r="K340" s="3">
        <v>1</v>
      </c>
      <c r="L340" s="3">
        <v>0</v>
      </c>
      <c r="M340" s="3">
        <v>0</v>
      </c>
    </row>
    <row r="341" spans="1:14">
      <c r="A341" t="s">
        <v>19</v>
      </c>
      <c r="C341" s="3">
        <f>C337*C340*C339-C339</f>
        <v>0.29000000000000004</v>
      </c>
      <c r="D341" s="3">
        <f>D337*D340*D339-D339</f>
        <v>0</v>
      </c>
      <c r="E341" s="3">
        <f>E337*E340*E339-E339</f>
        <v>0</v>
      </c>
      <c r="G341" s="3">
        <f>G337*G340*G339-G339</f>
        <v>0</v>
      </c>
      <c r="H341" s="3">
        <f>H337*H340*H339-H339</f>
        <v>-1</v>
      </c>
      <c r="I341" s="3">
        <f>I337*I340*I339-I339</f>
        <v>0</v>
      </c>
      <c r="K341" s="3">
        <f>K337*K340*K339-K339</f>
        <v>0.59000000000000008</v>
      </c>
      <c r="L341" s="3">
        <f>L337*L340*L339-L339</f>
        <v>0</v>
      </c>
      <c r="M341" s="3">
        <f>M337*M340*M339-M339</f>
        <v>0</v>
      </c>
    </row>
    <row r="343" spans="1:14">
      <c r="A343" s="1" t="s">
        <v>42</v>
      </c>
      <c r="C343" s="1" t="s">
        <v>1</v>
      </c>
      <c r="E343" s="1">
        <f>0+C350+D350+E350 + E334</f>
        <v>2.0500000000000007</v>
      </c>
      <c r="G343" s="1" t="s">
        <v>2</v>
      </c>
      <c r="I343" s="1">
        <f>0+G350+H350+I350 + I334</f>
        <v>-5</v>
      </c>
      <c r="K343" s="1" t="s">
        <v>3</v>
      </c>
      <c r="M343" s="1">
        <f>0+K350+L350+M350 + M334</f>
        <v>4.26</v>
      </c>
    </row>
    <row r="344" spans="1:14">
      <c r="A344" t="s">
        <v>61</v>
      </c>
      <c r="C344" s="2" t="s">
        <v>5</v>
      </c>
      <c r="D344" s="2" t="s">
        <v>6</v>
      </c>
      <c r="E344" s="2" t="s">
        <v>7</v>
      </c>
      <c r="G344" s="2" t="s">
        <v>8</v>
      </c>
      <c r="H344" s="2" t="s">
        <v>9</v>
      </c>
      <c r="I344" s="2" t="s">
        <v>10</v>
      </c>
      <c r="K344" s="2" t="s">
        <v>11</v>
      </c>
      <c r="L344" s="2" t="s">
        <v>12</v>
      </c>
      <c r="M344" s="2" t="s">
        <v>13</v>
      </c>
    </row>
    <row r="345" spans="1:14">
      <c r="A345" t="s">
        <v>14</v>
      </c>
      <c r="C345" s="3">
        <v>3.3239999999999998</v>
      </c>
      <c r="D345" s="3">
        <v>4.4420000000000002</v>
      </c>
      <c r="E345" s="3">
        <v>2.109</v>
      </c>
      <c r="G345" s="3">
        <v>8.6370000000000005</v>
      </c>
      <c r="H345" s="3">
        <v>2.7839999999999998</v>
      </c>
      <c r="I345" s="3">
        <v>1.9039999999999999</v>
      </c>
      <c r="K345" s="3">
        <v>2.984</v>
      </c>
      <c r="L345" s="3">
        <v>2.302</v>
      </c>
      <c r="M345" s="3">
        <v>4.3360000000000003</v>
      </c>
    </row>
    <row r="346" spans="1:14">
      <c r="A346" t="s">
        <v>15</v>
      </c>
      <c r="C346" s="3">
        <v>2.88</v>
      </c>
      <c r="D346" s="3">
        <v>3.34</v>
      </c>
      <c r="E346" s="3">
        <v>2.61</v>
      </c>
      <c r="G346" s="3">
        <v>3.5</v>
      </c>
      <c r="H346" s="3">
        <v>2.16</v>
      </c>
      <c r="I346" s="3">
        <v>3.34</v>
      </c>
      <c r="K346" s="3">
        <v>3.05</v>
      </c>
      <c r="L346" s="3">
        <v>2.66</v>
      </c>
      <c r="M346" s="3">
        <v>2.92</v>
      </c>
    </row>
    <row r="347" spans="1:14">
      <c r="A347" t="s">
        <v>16</v>
      </c>
      <c r="C347" s="3">
        <f>C346/C345</f>
        <v>0.86642599277978338</v>
      </c>
      <c r="D347" s="3">
        <f>D346/D345</f>
        <v>0.75191355245384961</v>
      </c>
      <c r="E347" s="3">
        <f>E346/E345</f>
        <v>1.2375533428165006</v>
      </c>
      <c r="G347" s="3">
        <f>G346/G345</f>
        <v>0.40523329859905055</v>
      </c>
      <c r="H347" s="3">
        <f>H346/H345</f>
        <v>0.77586206896551735</v>
      </c>
      <c r="I347" s="3">
        <f>I346/I345</f>
        <v>1.7542016806722689</v>
      </c>
      <c r="K347" s="3">
        <f>K346/K345</f>
        <v>1.0221179624664878</v>
      </c>
      <c r="L347" s="3">
        <f>L346/L345</f>
        <v>1.1555169417897482</v>
      </c>
      <c r="M347" s="3">
        <f>M346/M345</f>
        <v>0.67343173431734316</v>
      </c>
    </row>
    <row r="348" spans="1:14">
      <c r="A348" t="s">
        <v>17</v>
      </c>
      <c r="C348" s="3">
        <v>0</v>
      </c>
      <c r="D348" s="3">
        <v>0</v>
      </c>
      <c r="E348" s="3">
        <v>1</v>
      </c>
      <c r="G348" s="3">
        <v>0</v>
      </c>
      <c r="H348" s="3">
        <v>0</v>
      </c>
      <c r="I348" s="3">
        <v>1</v>
      </c>
      <c r="K348" s="3">
        <v>0</v>
      </c>
      <c r="L348" s="3">
        <v>1</v>
      </c>
      <c r="M348" s="3">
        <v>0</v>
      </c>
    </row>
    <row r="349" spans="1:14">
      <c r="A349" t="s">
        <v>18</v>
      </c>
      <c r="C349" s="3">
        <v>1</v>
      </c>
      <c r="D349" s="3">
        <v>0</v>
      </c>
      <c r="E349" s="3">
        <v>0</v>
      </c>
      <c r="G349" s="3">
        <v>1</v>
      </c>
      <c r="H349" s="3">
        <v>0</v>
      </c>
      <c r="I349" s="3">
        <v>0</v>
      </c>
      <c r="K349" s="3">
        <v>0</v>
      </c>
      <c r="L349" s="3">
        <v>1</v>
      </c>
      <c r="M349" s="3">
        <v>0</v>
      </c>
    </row>
    <row r="350" spans="1:14">
      <c r="A350" t="s">
        <v>19</v>
      </c>
      <c r="C350" s="3">
        <f>C346*C349*C348-C348</f>
        <v>0</v>
      </c>
      <c r="D350" s="3">
        <f>D346*D349*D348-D348</f>
        <v>0</v>
      </c>
      <c r="E350" s="3">
        <f>E346*E349*E348-E348</f>
        <v>-1</v>
      </c>
      <c r="G350" s="3">
        <f>G346*G349*G348-G348</f>
        <v>0</v>
      </c>
      <c r="H350" s="3">
        <f>H346*H349*H348-H348</f>
        <v>0</v>
      </c>
      <c r="I350" s="3">
        <f>I346*I349*I348-I348</f>
        <v>-1</v>
      </c>
      <c r="K350" s="3">
        <f>K346*K349*K348-K348</f>
        <v>0</v>
      </c>
      <c r="L350" s="3">
        <f>L346*L349*L348-L348</f>
        <v>1.6600000000000001</v>
      </c>
      <c r="M350" s="3">
        <f>M346*M349*M348-M348</f>
        <v>0</v>
      </c>
    </row>
    <row r="352" spans="1:14" s="7" customFormat="1">
      <c r="A352" s="6" t="s">
        <v>42</v>
      </c>
      <c r="C352" s="6" t="s">
        <v>1</v>
      </c>
      <c r="E352" s="6">
        <f>0+C359+D359+E359 + E343</f>
        <v>4.9300000000000006</v>
      </c>
      <c r="G352" s="6" t="s">
        <v>2</v>
      </c>
      <c r="I352" s="6">
        <f>0+G359+H359+I359 + I343</f>
        <v>-6</v>
      </c>
      <c r="K352" s="6" t="s">
        <v>3</v>
      </c>
      <c r="M352" s="6">
        <f>0+K359+L359+M359 + M343</f>
        <v>6.0399999999999991</v>
      </c>
      <c r="N352" s="7">
        <f>E352+I352+M352</f>
        <v>4.97</v>
      </c>
    </row>
    <row r="353" spans="1:13">
      <c r="A353" t="s">
        <v>62</v>
      </c>
      <c r="C353" s="2" t="s">
        <v>5</v>
      </c>
      <c r="D353" s="2" t="s">
        <v>6</v>
      </c>
      <c r="E353" s="2" t="s">
        <v>7</v>
      </c>
      <c r="G353" s="2" t="s">
        <v>8</v>
      </c>
      <c r="H353" s="2" t="s">
        <v>9</v>
      </c>
      <c r="I353" s="2" t="s">
        <v>10</v>
      </c>
      <c r="K353" s="2" t="s">
        <v>11</v>
      </c>
      <c r="L353" s="2" t="s">
        <v>12</v>
      </c>
      <c r="M353" s="2" t="s">
        <v>13</v>
      </c>
    </row>
    <row r="354" spans="1:13">
      <c r="A354" t="s">
        <v>14</v>
      </c>
      <c r="C354" s="3">
        <v>2.173</v>
      </c>
      <c r="D354" s="3">
        <v>4.649</v>
      </c>
      <c r="E354" s="3">
        <v>3.0779999999999998</v>
      </c>
      <c r="G354" s="3">
        <v>1.9390000000000001</v>
      </c>
      <c r="H354" s="3">
        <v>4.1429999999999998</v>
      </c>
      <c r="I354" s="3">
        <v>4.1130000000000004</v>
      </c>
      <c r="K354" s="3">
        <v>2.46</v>
      </c>
      <c r="L354" s="3">
        <v>2.698</v>
      </c>
      <c r="M354" s="3">
        <v>4.4859999999999998</v>
      </c>
    </row>
    <row r="355" spans="1:13">
      <c r="A355" t="s">
        <v>15</v>
      </c>
      <c r="C355" s="3">
        <v>1.94</v>
      </c>
      <c r="D355" s="3">
        <v>3.88</v>
      </c>
      <c r="E355" s="3">
        <v>3.88</v>
      </c>
      <c r="G355" s="3">
        <v>2.57</v>
      </c>
      <c r="H355" s="3">
        <v>2.31</v>
      </c>
      <c r="I355" s="3">
        <v>4.45</v>
      </c>
      <c r="K355" s="3">
        <v>2.35</v>
      </c>
      <c r="L355" s="3">
        <v>2.78</v>
      </c>
      <c r="M355" s="3">
        <v>3.84</v>
      </c>
    </row>
    <row r="356" spans="1:13">
      <c r="A356" t="s">
        <v>16</v>
      </c>
      <c r="C356" s="3">
        <f>C355/C354</f>
        <v>0.89277496548550384</v>
      </c>
      <c r="D356" s="3">
        <f>D355/D354</f>
        <v>0.83458808345880831</v>
      </c>
      <c r="E356" s="3">
        <f>E355/E354</f>
        <v>1.2605588044184535</v>
      </c>
      <c r="G356" s="3">
        <f>G355/G354</f>
        <v>1.3254254770500256</v>
      </c>
      <c r="H356" s="3">
        <f>H355/H354</f>
        <v>0.55756698044895003</v>
      </c>
      <c r="I356" s="3">
        <f>I355/I354</f>
        <v>1.0819353270119134</v>
      </c>
      <c r="K356" s="3">
        <f>K355/K354</f>
        <v>0.95528455284552849</v>
      </c>
      <c r="L356" s="3">
        <f>L355/L354</f>
        <v>1.0303928836174945</v>
      </c>
      <c r="M356" s="3">
        <f>M355/M354</f>
        <v>0.85599643334819442</v>
      </c>
    </row>
    <row r="357" spans="1:13">
      <c r="A357" t="s">
        <v>17</v>
      </c>
      <c r="C357" s="3">
        <v>0</v>
      </c>
      <c r="D357" s="3">
        <v>0</v>
      </c>
      <c r="E357" s="3">
        <v>1</v>
      </c>
      <c r="G357" s="3">
        <v>1</v>
      </c>
      <c r="H357" s="3">
        <v>0</v>
      </c>
      <c r="I357" s="3">
        <v>0</v>
      </c>
      <c r="K357" s="3">
        <v>0</v>
      </c>
      <c r="L357" s="3">
        <v>1</v>
      </c>
      <c r="M357" s="3">
        <v>0</v>
      </c>
    </row>
    <row r="358" spans="1:13">
      <c r="A358" t="s">
        <v>18</v>
      </c>
      <c r="C358" s="3">
        <v>0</v>
      </c>
      <c r="D358" s="3">
        <v>0</v>
      </c>
      <c r="E358" s="3">
        <v>1</v>
      </c>
      <c r="G358" s="3">
        <v>0</v>
      </c>
      <c r="H358" s="3">
        <v>0</v>
      </c>
      <c r="I358" s="3">
        <v>1</v>
      </c>
      <c r="K358" s="3">
        <v>0</v>
      </c>
      <c r="L358" s="3">
        <v>1</v>
      </c>
      <c r="M358" s="3">
        <v>0</v>
      </c>
    </row>
    <row r="359" spans="1:13">
      <c r="A359" t="s">
        <v>19</v>
      </c>
      <c r="C359" s="3">
        <f>C355*C358*C357-C357</f>
        <v>0</v>
      </c>
      <c r="D359" s="3">
        <f>D355*D358*D357-D357</f>
        <v>0</v>
      </c>
      <c r="E359" s="3">
        <f>E355*E358*E357-E357</f>
        <v>2.88</v>
      </c>
      <c r="G359" s="3">
        <f>G355*G358*G357-G357</f>
        <v>-1</v>
      </c>
      <c r="H359" s="3">
        <f>H355*H358*H357-H357</f>
        <v>0</v>
      </c>
      <c r="I359" s="3">
        <f>I355*I358*I357-I357</f>
        <v>0</v>
      </c>
      <c r="K359" s="3">
        <f>K355*K358*K357-K357</f>
        <v>0</v>
      </c>
      <c r="L359" s="3">
        <f>L355*L358*L357-L357</f>
        <v>1.7799999999999998</v>
      </c>
      <c r="M359" s="3">
        <f>M355*M358*M357-M357</f>
        <v>0</v>
      </c>
    </row>
    <row r="361" spans="1:13">
      <c r="A361" s="1" t="s">
        <v>26</v>
      </c>
      <c r="C361" s="1" t="s">
        <v>1</v>
      </c>
      <c r="E361" s="1">
        <f>0+C368+D368+E368 + E352</f>
        <v>5.9700000000000006</v>
      </c>
      <c r="G361" s="1" t="s">
        <v>2</v>
      </c>
      <c r="I361" s="1">
        <f>0+G368+H368+I368 + I352</f>
        <v>-7</v>
      </c>
      <c r="K361" s="1" t="s">
        <v>3</v>
      </c>
      <c r="M361" s="1">
        <f>0+K368+L368+M368 + M352</f>
        <v>7.2899999999999991</v>
      </c>
    </row>
    <row r="362" spans="1:13">
      <c r="A362" t="s">
        <v>63</v>
      </c>
      <c r="C362" s="2" t="s">
        <v>5</v>
      </c>
      <c r="D362" s="2" t="s">
        <v>6</v>
      </c>
      <c r="E362" s="2" t="s">
        <v>7</v>
      </c>
      <c r="G362" s="2" t="s">
        <v>8</v>
      </c>
      <c r="H362" s="2" t="s">
        <v>9</v>
      </c>
      <c r="I362" s="2" t="s">
        <v>10</v>
      </c>
      <c r="K362" s="2" t="s">
        <v>11</v>
      </c>
      <c r="L362" s="2" t="s">
        <v>12</v>
      </c>
      <c r="M362" s="2" t="s">
        <v>13</v>
      </c>
    </row>
    <row r="363" spans="1:13">
      <c r="A363" t="s">
        <v>14</v>
      </c>
      <c r="C363" s="3">
        <v>2.0539999999999998</v>
      </c>
      <c r="D363" s="3">
        <v>3.823</v>
      </c>
      <c r="E363" s="3">
        <v>3.9710000000000001</v>
      </c>
      <c r="G363" s="3">
        <v>3.9620000000000002</v>
      </c>
      <c r="H363" s="3">
        <v>1.9730000000000001</v>
      </c>
      <c r="I363" s="3">
        <v>4.1509999999999998</v>
      </c>
      <c r="K363" s="3">
        <v>1.7649999999999999</v>
      </c>
      <c r="L363" s="3">
        <v>8.2159999999999993</v>
      </c>
      <c r="M363" s="3">
        <v>3.2050000000000001</v>
      </c>
    </row>
    <row r="364" spans="1:13">
      <c r="A364" t="s">
        <v>15</v>
      </c>
      <c r="C364" s="3">
        <v>2.04</v>
      </c>
      <c r="D364" s="3">
        <v>3.68</v>
      </c>
      <c r="E364" s="3">
        <v>3.7</v>
      </c>
      <c r="G364" s="3">
        <v>2.61</v>
      </c>
      <c r="H364" s="3">
        <v>2.39</v>
      </c>
      <c r="I364" s="3">
        <v>4.28</v>
      </c>
      <c r="K364" s="3">
        <v>2.25</v>
      </c>
      <c r="L364" s="3">
        <v>2.65</v>
      </c>
      <c r="M364" s="3">
        <v>3.9</v>
      </c>
    </row>
    <row r="365" spans="1:13">
      <c r="A365" t="s">
        <v>16</v>
      </c>
      <c r="C365" s="3">
        <f>C364/C363</f>
        <v>0.99318403115871479</v>
      </c>
      <c r="D365" s="3">
        <f>D364/D363</f>
        <v>0.96259482082134451</v>
      </c>
      <c r="E365" s="3">
        <f>E364/E363</f>
        <v>0.93175522538403432</v>
      </c>
      <c r="G365" s="3">
        <f>G364/G363</f>
        <v>0.65875820292781417</v>
      </c>
      <c r="H365" s="3">
        <f>H364/H363</f>
        <v>1.2113532691332995</v>
      </c>
      <c r="I365" s="3">
        <f>I364/I363</f>
        <v>1.0310768489520599</v>
      </c>
      <c r="K365" s="3">
        <f>K364/K363</f>
        <v>1.2747875354107649</v>
      </c>
      <c r="L365" s="3">
        <f>L364/L363</f>
        <v>0.32254138266796495</v>
      </c>
      <c r="M365" s="3">
        <f>M364/M363</f>
        <v>1.2168486739469577</v>
      </c>
    </row>
    <row r="366" spans="1:13">
      <c r="A366" t="s">
        <v>17</v>
      </c>
      <c r="C366" s="3">
        <v>1</v>
      </c>
      <c r="D366" s="3">
        <v>0</v>
      </c>
      <c r="E366" s="3">
        <v>0</v>
      </c>
      <c r="G366" s="3">
        <v>0</v>
      </c>
      <c r="H366" s="3">
        <v>1</v>
      </c>
      <c r="I366" s="3">
        <v>0</v>
      </c>
      <c r="K366" s="3">
        <v>1</v>
      </c>
      <c r="L366" s="3">
        <v>0</v>
      </c>
      <c r="M366" s="3">
        <v>0</v>
      </c>
    </row>
    <row r="367" spans="1:13">
      <c r="A367" t="s">
        <v>18</v>
      </c>
      <c r="C367" s="3">
        <v>1</v>
      </c>
      <c r="D367" s="3">
        <v>0</v>
      </c>
      <c r="E367" s="3">
        <v>0</v>
      </c>
      <c r="G367" s="3">
        <v>1</v>
      </c>
      <c r="H367" s="3">
        <v>0</v>
      </c>
      <c r="I367" s="3">
        <v>0</v>
      </c>
      <c r="K367" s="3">
        <v>1</v>
      </c>
      <c r="L367" s="3">
        <v>0</v>
      </c>
      <c r="M367" s="3">
        <v>0</v>
      </c>
    </row>
    <row r="368" spans="1:13">
      <c r="A368" t="s">
        <v>19</v>
      </c>
      <c r="C368" s="3">
        <f>C364*C367*C366-C366</f>
        <v>1.04</v>
      </c>
      <c r="D368" s="3">
        <f>D364*D367*D366-D366</f>
        <v>0</v>
      </c>
      <c r="E368" s="3">
        <f>E364*E367*E366-E366</f>
        <v>0</v>
      </c>
      <c r="G368" s="3">
        <f>G364*G367*G366-G366</f>
        <v>0</v>
      </c>
      <c r="H368" s="3">
        <f>H364*H367*H366-H366</f>
        <v>-1</v>
      </c>
      <c r="I368" s="3">
        <f>I364*I367*I366-I366</f>
        <v>0</v>
      </c>
      <c r="K368" s="3">
        <f>K364*K367*K366-K366</f>
        <v>1.25</v>
      </c>
      <c r="L368" s="3">
        <f>L364*L367*L366-L366</f>
        <v>0</v>
      </c>
      <c r="M368" s="3">
        <f>M364*M367*M366-M366</f>
        <v>0</v>
      </c>
    </row>
    <row r="370" spans="1:13">
      <c r="A370" s="1" t="s">
        <v>26</v>
      </c>
      <c r="C370" s="1" t="s">
        <v>1</v>
      </c>
      <c r="E370" s="1">
        <f>0+C377+D377+E377 + E361</f>
        <v>6.580000000000001</v>
      </c>
      <c r="G370" s="1" t="s">
        <v>2</v>
      </c>
      <c r="I370" s="1">
        <f>0+G377+H377+I377 + I361</f>
        <v>-8</v>
      </c>
      <c r="K370" s="1" t="s">
        <v>3</v>
      </c>
      <c r="M370" s="1">
        <f>0+K377+L377+M377 + M361</f>
        <v>6.2899999999999991</v>
      </c>
    </row>
    <row r="371" spans="1:13">
      <c r="A371" t="s">
        <v>64</v>
      </c>
      <c r="C371" s="2" t="s">
        <v>5</v>
      </c>
      <c r="D371" s="2" t="s">
        <v>6</v>
      </c>
      <c r="E371" s="2" t="s">
        <v>7</v>
      </c>
      <c r="G371" s="2" t="s">
        <v>8</v>
      </c>
      <c r="H371" s="2" t="s">
        <v>9</v>
      </c>
      <c r="I371" s="2" t="s">
        <v>10</v>
      </c>
      <c r="K371" s="2" t="s">
        <v>11</v>
      </c>
      <c r="L371" s="2" t="s">
        <v>12</v>
      </c>
      <c r="M371" s="2" t="s">
        <v>13</v>
      </c>
    </row>
    <row r="372" spans="1:13">
      <c r="A372" t="s">
        <v>14</v>
      </c>
      <c r="C372" s="3">
        <v>9.3119999999999994</v>
      </c>
      <c r="D372" s="3">
        <v>17.466000000000001</v>
      </c>
      <c r="E372" s="3">
        <v>1.1970000000000001</v>
      </c>
      <c r="G372" s="3">
        <v>10.846</v>
      </c>
      <c r="H372" s="3">
        <v>3.169</v>
      </c>
      <c r="I372" s="3">
        <v>1.6879999999999999</v>
      </c>
      <c r="K372" s="3">
        <v>4.1159999999999997</v>
      </c>
      <c r="L372" s="3">
        <v>6.7850000000000001</v>
      </c>
      <c r="M372" s="3">
        <v>1.64</v>
      </c>
    </row>
    <row r="373" spans="1:13">
      <c r="A373" t="s">
        <v>15</v>
      </c>
      <c r="C373" s="3">
        <v>6.16</v>
      </c>
      <c r="D373" s="3">
        <v>4.07</v>
      </c>
      <c r="E373" s="3">
        <v>1.61</v>
      </c>
      <c r="G373" s="3">
        <v>6.01</v>
      </c>
      <c r="H373" s="3">
        <v>2.42</v>
      </c>
      <c r="I373" s="3">
        <v>2.19</v>
      </c>
      <c r="K373" s="3">
        <v>5.29</v>
      </c>
      <c r="L373" s="3">
        <v>2.75</v>
      </c>
      <c r="M373" s="3">
        <v>2.02</v>
      </c>
    </row>
    <row r="374" spans="1:13">
      <c r="A374" t="s">
        <v>16</v>
      </c>
      <c r="C374" s="3">
        <f>C373/C372</f>
        <v>0.66151202749140903</v>
      </c>
      <c r="D374" s="3">
        <f>D373/D372</f>
        <v>0.23302416122752778</v>
      </c>
      <c r="E374" s="3">
        <f>E373/E372</f>
        <v>1.3450292397660819</v>
      </c>
      <c r="G374" s="3">
        <f>G373/G372</f>
        <v>0.55412133505439787</v>
      </c>
      <c r="H374" s="3">
        <f>H373/H372</f>
        <v>0.76364783843483741</v>
      </c>
      <c r="I374" s="3">
        <f>I373/I372</f>
        <v>1.29739336492891</v>
      </c>
      <c r="K374" s="3">
        <f>K373/K372</f>
        <v>1.2852283770651118</v>
      </c>
      <c r="L374" s="3">
        <f>L373/L372</f>
        <v>0.40530582166543844</v>
      </c>
      <c r="M374" s="3">
        <f>M373/M372</f>
        <v>1.2317073170731707</v>
      </c>
    </row>
    <row r="375" spans="1:13">
      <c r="A375" t="s">
        <v>17</v>
      </c>
      <c r="C375" s="3">
        <v>0</v>
      </c>
      <c r="D375" s="3">
        <v>0</v>
      </c>
      <c r="E375" s="3">
        <v>1</v>
      </c>
      <c r="G375" s="3">
        <v>0</v>
      </c>
      <c r="H375" s="3">
        <v>0</v>
      </c>
      <c r="I375" s="3">
        <v>1</v>
      </c>
      <c r="K375" s="3">
        <v>1</v>
      </c>
      <c r="L375" s="3">
        <v>0</v>
      </c>
      <c r="M375" s="3">
        <v>0</v>
      </c>
    </row>
    <row r="376" spans="1:13">
      <c r="A376" t="s">
        <v>18</v>
      </c>
      <c r="C376" s="3">
        <v>0</v>
      </c>
      <c r="D376" s="3">
        <v>0</v>
      </c>
      <c r="E376" s="3">
        <v>1</v>
      </c>
      <c r="G376" s="3">
        <v>0</v>
      </c>
      <c r="H376" s="3">
        <v>1</v>
      </c>
      <c r="I376" s="3">
        <v>0</v>
      </c>
      <c r="K376" s="3">
        <v>0</v>
      </c>
      <c r="L376" s="3">
        <v>0</v>
      </c>
      <c r="M376" s="3">
        <v>1</v>
      </c>
    </row>
    <row r="377" spans="1:13">
      <c r="A377" t="s">
        <v>19</v>
      </c>
      <c r="C377" s="3">
        <f>C373*C376*C375-C375</f>
        <v>0</v>
      </c>
      <c r="D377" s="3">
        <f>D373*D376*D375-D375</f>
        <v>0</v>
      </c>
      <c r="E377" s="3">
        <f>E373*E376*E375-E375</f>
        <v>0.6100000000000001</v>
      </c>
      <c r="G377" s="3">
        <f>G373*G376*G375-G375</f>
        <v>0</v>
      </c>
      <c r="H377" s="3">
        <f>H373*H376*H375-H375</f>
        <v>0</v>
      </c>
      <c r="I377" s="3">
        <f>I373*I376*I375-I375</f>
        <v>-1</v>
      </c>
      <c r="K377" s="3">
        <f>K373*K376*K375-K375</f>
        <v>-1</v>
      </c>
      <c r="L377" s="3">
        <f>L373*L376*L375-L375</f>
        <v>0</v>
      </c>
      <c r="M377" s="3">
        <f>M373*M376*M375-M375</f>
        <v>0</v>
      </c>
    </row>
    <row r="379" spans="1:13">
      <c r="A379" s="1" t="s">
        <v>26</v>
      </c>
      <c r="C379" s="1" t="s">
        <v>1</v>
      </c>
      <c r="E379" s="1">
        <f>0+C386+D386+E386 + E370</f>
        <v>5.580000000000001</v>
      </c>
      <c r="G379" s="1" t="s">
        <v>2</v>
      </c>
      <c r="I379" s="1">
        <f>0+G386+H386+I386 + I370</f>
        <v>-9</v>
      </c>
      <c r="K379" s="1" t="s">
        <v>3</v>
      </c>
      <c r="M379" s="1">
        <f>0+K386+L386+M386 + M370</f>
        <v>5.2899999999999991</v>
      </c>
    </row>
    <row r="380" spans="1:13">
      <c r="A380" t="s">
        <v>65</v>
      </c>
      <c r="C380" s="2" t="s">
        <v>5</v>
      </c>
      <c r="D380" s="2" t="s">
        <v>6</v>
      </c>
      <c r="E380" s="2" t="s">
        <v>7</v>
      </c>
      <c r="G380" s="2" t="s">
        <v>8</v>
      </c>
      <c r="H380" s="2" t="s">
        <v>9</v>
      </c>
      <c r="I380" s="2" t="s">
        <v>10</v>
      </c>
      <c r="K380" s="2" t="s">
        <v>11</v>
      </c>
      <c r="L380" s="2" t="s">
        <v>12</v>
      </c>
      <c r="M380" s="2" t="s">
        <v>13</v>
      </c>
    </row>
    <row r="381" spans="1:13">
      <c r="A381" t="s">
        <v>14</v>
      </c>
      <c r="C381" s="3">
        <v>1.788</v>
      </c>
      <c r="D381" s="3">
        <v>2.6920000000000002</v>
      </c>
      <c r="E381" s="3">
        <v>14.388</v>
      </c>
      <c r="G381" s="3">
        <v>2.1190000000000002</v>
      </c>
      <c r="H381" s="3">
        <v>2.2360000000000002</v>
      </c>
      <c r="I381" s="3">
        <v>12.347</v>
      </c>
      <c r="K381" s="3">
        <v>1.895</v>
      </c>
      <c r="L381" s="3">
        <v>3.4910000000000001</v>
      </c>
      <c r="M381" s="3">
        <v>5.3780000000000001</v>
      </c>
    </row>
    <row r="382" spans="1:13">
      <c r="A382" t="s">
        <v>15</v>
      </c>
      <c r="C382" s="3">
        <v>1.75</v>
      </c>
      <c r="D382" s="3">
        <v>3.7</v>
      </c>
      <c r="E382" s="3">
        <v>5.48</v>
      </c>
      <c r="G382" s="3">
        <v>2.34</v>
      </c>
      <c r="H382" s="3">
        <v>2.31</v>
      </c>
      <c r="I382" s="3">
        <v>5.61</v>
      </c>
      <c r="K382" s="3">
        <v>2.14</v>
      </c>
      <c r="L382" s="3">
        <v>2.68</v>
      </c>
      <c r="M382" s="3">
        <v>4.82</v>
      </c>
    </row>
    <row r="383" spans="1:13">
      <c r="A383" t="s">
        <v>16</v>
      </c>
      <c r="C383" s="3">
        <f>C382/C381</f>
        <v>0.97874720357941836</v>
      </c>
      <c r="D383" s="3">
        <f>D382/D381</f>
        <v>1.37444279346211</v>
      </c>
      <c r="E383" s="3">
        <f>E382/E381</f>
        <v>0.38087294968028917</v>
      </c>
      <c r="G383" s="3">
        <f>G382/G381</f>
        <v>1.1042944785276072</v>
      </c>
      <c r="H383" s="3">
        <f>H382/H381</f>
        <v>1.0330948121645795</v>
      </c>
      <c r="I383" s="3">
        <f>I382/I381</f>
        <v>0.4543613833319835</v>
      </c>
      <c r="K383" s="3">
        <f>K382/K381</f>
        <v>1.1292875989445912</v>
      </c>
      <c r="L383" s="3">
        <f>L382/L381</f>
        <v>0.76768834144944142</v>
      </c>
      <c r="M383" s="3">
        <f>M382/M381</f>
        <v>0.89624395686128677</v>
      </c>
    </row>
    <row r="384" spans="1:13">
      <c r="A384" t="s">
        <v>17</v>
      </c>
      <c r="C384" s="3">
        <v>0</v>
      </c>
      <c r="D384" s="3">
        <v>1</v>
      </c>
      <c r="E384" s="3">
        <v>0</v>
      </c>
      <c r="G384" s="3">
        <v>1</v>
      </c>
      <c r="H384" s="3">
        <v>0</v>
      </c>
      <c r="I384" s="3">
        <v>0</v>
      </c>
      <c r="K384" s="3">
        <v>1</v>
      </c>
      <c r="L384" s="3">
        <v>0</v>
      </c>
      <c r="M384" s="3">
        <v>0</v>
      </c>
    </row>
    <row r="385" spans="1:13">
      <c r="A385" t="s">
        <v>18</v>
      </c>
      <c r="C385" s="3">
        <v>0</v>
      </c>
      <c r="D385" s="3">
        <v>0</v>
      </c>
      <c r="E385" s="3">
        <v>1</v>
      </c>
      <c r="G385" s="3">
        <v>0</v>
      </c>
      <c r="H385" s="3">
        <v>0</v>
      </c>
      <c r="I385" s="3">
        <v>1</v>
      </c>
      <c r="K385" s="3">
        <v>0</v>
      </c>
      <c r="L385" s="3">
        <v>1</v>
      </c>
      <c r="M385" s="3">
        <v>0</v>
      </c>
    </row>
    <row r="386" spans="1:13">
      <c r="A386" t="s">
        <v>19</v>
      </c>
      <c r="C386" s="3">
        <f>C382*C385*C384-C384</f>
        <v>0</v>
      </c>
      <c r="D386" s="3">
        <f>D382*D385*D384-D384</f>
        <v>-1</v>
      </c>
      <c r="E386" s="3">
        <f>E382*E385*E384-E384</f>
        <v>0</v>
      </c>
      <c r="G386" s="3">
        <f>G382*G385*G384-G384</f>
        <v>-1</v>
      </c>
      <c r="H386" s="3">
        <f>H382*H385*H384-H384</f>
        <v>0</v>
      </c>
      <c r="I386" s="3">
        <f>I382*I385*I384-I384</f>
        <v>0</v>
      </c>
      <c r="K386" s="3">
        <f>K382*K385*K384-K384</f>
        <v>-1</v>
      </c>
      <c r="L386" s="3">
        <f>L382*L385*L384-L384</f>
        <v>0</v>
      </c>
      <c r="M386" s="3">
        <f>M382*M385*M384-M384</f>
        <v>0</v>
      </c>
    </row>
    <row r="388" spans="1:13">
      <c r="A388" s="1" t="s">
        <v>26</v>
      </c>
      <c r="C388" s="1" t="s">
        <v>1</v>
      </c>
      <c r="E388" s="1">
        <f>0+C395+D395+E395 + E379</f>
        <v>6.98</v>
      </c>
      <c r="G388" s="1" t="s">
        <v>2</v>
      </c>
      <c r="I388" s="1">
        <f>0+G395+H395+I395 + I379</f>
        <v>-10</v>
      </c>
      <c r="K388" s="1" t="s">
        <v>3</v>
      </c>
      <c r="M388" s="1">
        <f>0+K395+L395+M395 + M379</f>
        <v>7.0399999999999991</v>
      </c>
    </row>
    <row r="389" spans="1:13">
      <c r="A389" t="s">
        <v>66</v>
      </c>
      <c r="C389" s="2" t="s">
        <v>5</v>
      </c>
      <c r="D389" s="2" t="s">
        <v>6</v>
      </c>
      <c r="E389" s="2" t="s">
        <v>7</v>
      </c>
      <c r="G389" s="2" t="s">
        <v>8</v>
      </c>
      <c r="H389" s="2" t="s">
        <v>9</v>
      </c>
      <c r="I389" s="2" t="s">
        <v>10</v>
      </c>
      <c r="K389" s="2" t="s">
        <v>11</v>
      </c>
      <c r="L389" s="2" t="s">
        <v>12</v>
      </c>
      <c r="M389" s="2" t="s">
        <v>13</v>
      </c>
    </row>
    <row r="390" spans="1:13">
      <c r="A390" t="s">
        <v>14</v>
      </c>
      <c r="C390" s="3">
        <v>1.5660000000000001</v>
      </c>
      <c r="D390" s="3">
        <v>3.8860000000000001</v>
      </c>
      <c r="E390" s="3">
        <v>9.5869999999999997</v>
      </c>
      <c r="G390" s="3">
        <v>1.31</v>
      </c>
      <c r="H390" s="3">
        <v>7.3129999999999997</v>
      </c>
      <c r="I390" s="3">
        <v>9.9819999999999993</v>
      </c>
      <c r="K390" s="3">
        <v>1.9370000000000001</v>
      </c>
      <c r="L390" s="3">
        <v>4.0679999999999996</v>
      </c>
      <c r="M390" s="3">
        <v>4.1989999999999998</v>
      </c>
    </row>
    <row r="391" spans="1:13">
      <c r="A391" t="s">
        <v>15</v>
      </c>
      <c r="C391" s="3">
        <v>2.4</v>
      </c>
      <c r="D391" s="3">
        <v>3.89</v>
      </c>
      <c r="E391" s="3">
        <v>2.85</v>
      </c>
      <c r="G391" s="3">
        <v>2.86</v>
      </c>
      <c r="H391" s="3">
        <v>2.67</v>
      </c>
      <c r="I391" s="3">
        <v>3.23</v>
      </c>
      <c r="K391" s="3">
        <v>2.75</v>
      </c>
      <c r="L391" s="3">
        <v>3.05</v>
      </c>
      <c r="M391" s="3">
        <v>2.81</v>
      </c>
    </row>
    <row r="392" spans="1:13">
      <c r="A392" t="s">
        <v>16</v>
      </c>
      <c r="C392" s="3">
        <f>C391/C390</f>
        <v>1.5325670498084289</v>
      </c>
      <c r="D392" s="3">
        <f>D391/D390</f>
        <v>1.0010293360782296</v>
      </c>
      <c r="E392" s="3">
        <f>E391/E390</f>
        <v>0.29727756336705957</v>
      </c>
      <c r="G392" s="3">
        <f>G391/G390</f>
        <v>2.1832061068702289</v>
      </c>
      <c r="H392" s="3">
        <f>H391/H390</f>
        <v>0.3651032408040476</v>
      </c>
      <c r="I392" s="3">
        <f>I391/I390</f>
        <v>0.32358244840713285</v>
      </c>
      <c r="K392" s="3">
        <f>K391/K390</f>
        <v>1.4197212183789365</v>
      </c>
      <c r="L392" s="3">
        <f>L391/L390</f>
        <v>0.74975417895771879</v>
      </c>
      <c r="M392" s="3">
        <f>M391/M390</f>
        <v>0.66920695403667541</v>
      </c>
    </row>
    <row r="393" spans="1:13">
      <c r="A393" t="s">
        <v>17</v>
      </c>
      <c r="C393" s="3">
        <v>1</v>
      </c>
      <c r="D393" s="3">
        <v>0</v>
      </c>
      <c r="E393" s="3">
        <v>0</v>
      </c>
      <c r="G393" s="3">
        <v>1</v>
      </c>
      <c r="H393" s="3">
        <v>0</v>
      </c>
      <c r="I393" s="3">
        <v>0</v>
      </c>
      <c r="K393" s="3">
        <v>1</v>
      </c>
      <c r="L393" s="3">
        <v>0</v>
      </c>
      <c r="M393" s="3">
        <v>0</v>
      </c>
    </row>
    <row r="394" spans="1:13">
      <c r="A394" t="s">
        <v>18</v>
      </c>
      <c r="C394" s="3">
        <v>1</v>
      </c>
      <c r="D394" s="3">
        <v>0</v>
      </c>
      <c r="E394" s="3">
        <v>0</v>
      </c>
      <c r="G394" s="3">
        <v>0</v>
      </c>
      <c r="H394" s="3">
        <v>1</v>
      </c>
      <c r="I394" s="3">
        <v>0</v>
      </c>
      <c r="K394" s="3">
        <v>1</v>
      </c>
      <c r="L394" s="3">
        <v>0</v>
      </c>
      <c r="M394" s="3">
        <v>0</v>
      </c>
    </row>
    <row r="395" spans="1:13">
      <c r="A395" t="s">
        <v>19</v>
      </c>
      <c r="C395" s="3">
        <f>C391*C394*C393-C393</f>
        <v>1.4</v>
      </c>
      <c r="D395" s="3">
        <f>D391*D394*D393-D393</f>
        <v>0</v>
      </c>
      <c r="E395" s="3">
        <f>E391*E394*E393-E393</f>
        <v>0</v>
      </c>
      <c r="G395" s="3">
        <f>G391*G394*G393-G393</f>
        <v>-1</v>
      </c>
      <c r="H395" s="3">
        <f>H391*H394*H393-H393</f>
        <v>0</v>
      </c>
      <c r="I395" s="3">
        <f>I391*I394*I393-I393</f>
        <v>0</v>
      </c>
      <c r="K395" s="3">
        <f>K391*K394*K393-K393</f>
        <v>1.75</v>
      </c>
      <c r="L395" s="3">
        <f>L391*L394*L393-L393</f>
        <v>0</v>
      </c>
      <c r="M395" s="3">
        <f>M391*M394*M393-M393</f>
        <v>0</v>
      </c>
    </row>
    <row r="397" spans="1:13">
      <c r="A397" s="1" t="s">
        <v>26</v>
      </c>
      <c r="C397" s="1" t="s">
        <v>1</v>
      </c>
      <c r="E397" s="1">
        <f>0+C404+D404+E404 + E388</f>
        <v>5.98</v>
      </c>
      <c r="G397" s="1" t="s">
        <v>2</v>
      </c>
      <c r="I397" s="1">
        <f>0+G404+H404+I404 + I388</f>
        <v>-8.4600000000000009</v>
      </c>
      <c r="K397" s="1" t="s">
        <v>3</v>
      </c>
      <c r="M397" s="1">
        <f>0+K404+L404+M404 + M388</f>
        <v>6.0399999999999991</v>
      </c>
    </row>
    <row r="398" spans="1:13">
      <c r="A398" t="s">
        <v>67</v>
      </c>
      <c r="C398" s="2" t="s">
        <v>5</v>
      </c>
      <c r="D398" s="2" t="s">
        <v>6</v>
      </c>
      <c r="E398" s="2" t="s">
        <v>7</v>
      </c>
      <c r="G398" s="2" t="s">
        <v>8</v>
      </c>
      <c r="H398" s="2" t="s">
        <v>9</v>
      </c>
      <c r="I398" s="2" t="s">
        <v>10</v>
      </c>
      <c r="K398" s="2" t="s">
        <v>11</v>
      </c>
      <c r="L398" s="2" t="s">
        <v>12</v>
      </c>
      <c r="M398" s="2" t="s">
        <v>13</v>
      </c>
    </row>
    <row r="399" spans="1:13">
      <c r="A399" t="s">
        <v>14</v>
      </c>
      <c r="C399" s="3">
        <v>1.5740000000000001</v>
      </c>
      <c r="D399" s="3">
        <v>3.4529999999999998</v>
      </c>
      <c r="E399" s="3">
        <v>13.292999999999999</v>
      </c>
      <c r="G399" s="3">
        <v>2.7829999999999999</v>
      </c>
      <c r="H399" s="3">
        <v>1.8120000000000001</v>
      </c>
      <c r="I399" s="3">
        <v>11.242000000000001</v>
      </c>
      <c r="K399" s="3">
        <v>1.6819999999999999</v>
      </c>
      <c r="L399" s="3">
        <v>4.6669999999999998</v>
      </c>
      <c r="M399" s="3">
        <v>5.226</v>
      </c>
    </row>
    <row r="400" spans="1:13">
      <c r="A400" t="s">
        <v>15</v>
      </c>
      <c r="C400" s="3">
        <v>2.0299999999999998</v>
      </c>
      <c r="D400" s="3">
        <v>3.77</v>
      </c>
      <c r="E400" s="3">
        <v>3.67</v>
      </c>
      <c r="G400" s="3">
        <v>2.59</v>
      </c>
      <c r="H400" s="3">
        <v>2.54</v>
      </c>
      <c r="I400" s="3">
        <v>4.05</v>
      </c>
      <c r="K400" s="3">
        <v>2.34</v>
      </c>
      <c r="L400" s="3">
        <v>2.92</v>
      </c>
      <c r="M400" s="3">
        <v>3.61</v>
      </c>
    </row>
    <row r="401" spans="1:14">
      <c r="A401" t="s">
        <v>16</v>
      </c>
      <c r="C401" s="3">
        <f>C400/C399</f>
        <v>1.289707750952986</v>
      </c>
      <c r="D401" s="3">
        <f>D400/D399</f>
        <v>1.0918042282073559</v>
      </c>
      <c r="E401" s="3">
        <f>E400/E399</f>
        <v>0.27608515760174529</v>
      </c>
      <c r="G401" s="3">
        <f>G400/G399</f>
        <v>0.93065037729069344</v>
      </c>
      <c r="H401" s="3">
        <f>H400/H399</f>
        <v>1.4017660044150111</v>
      </c>
      <c r="I401" s="3">
        <f>I400/I399</f>
        <v>0.36025618217399036</v>
      </c>
      <c r="K401" s="3">
        <f>K400/K399</f>
        <v>1.3912009512485137</v>
      </c>
      <c r="L401" s="3">
        <f>L400/L399</f>
        <v>0.6256695950289265</v>
      </c>
      <c r="M401" s="3">
        <f>M400/M399</f>
        <v>0.69077688480673549</v>
      </c>
    </row>
    <row r="402" spans="1:14">
      <c r="A402" t="s">
        <v>17</v>
      </c>
      <c r="C402" s="3">
        <v>1</v>
      </c>
      <c r="D402" s="3">
        <v>0</v>
      </c>
      <c r="E402" s="3">
        <v>0</v>
      </c>
      <c r="G402" s="3">
        <v>0</v>
      </c>
      <c r="H402" s="3">
        <v>1</v>
      </c>
      <c r="I402" s="3">
        <v>0</v>
      </c>
      <c r="K402" s="3">
        <v>1</v>
      </c>
      <c r="L402" s="3">
        <v>0</v>
      </c>
      <c r="M402" s="3">
        <v>0</v>
      </c>
    </row>
    <row r="403" spans="1:14">
      <c r="A403" t="s">
        <v>18</v>
      </c>
      <c r="C403" s="3">
        <v>0</v>
      </c>
      <c r="D403" s="3">
        <v>0</v>
      </c>
      <c r="E403" s="3">
        <v>1</v>
      </c>
      <c r="G403" s="3">
        <v>0</v>
      </c>
      <c r="H403" s="3">
        <v>1</v>
      </c>
      <c r="I403" s="3">
        <v>0</v>
      </c>
      <c r="K403" s="3">
        <v>0</v>
      </c>
      <c r="L403" s="3">
        <v>0</v>
      </c>
      <c r="M403" s="3">
        <v>1</v>
      </c>
    </row>
    <row r="404" spans="1:14">
      <c r="A404" t="s">
        <v>19</v>
      </c>
      <c r="C404" s="3">
        <f>C400*C403*C402-C402</f>
        <v>-1</v>
      </c>
      <c r="D404" s="3">
        <f>D400*D403*D402-D402</f>
        <v>0</v>
      </c>
      <c r="E404" s="3">
        <f>E400*E403*E402-E402</f>
        <v>0</v>
      </c>
      <c r="G404" s="3">
        <f>G400*G403*G402-G402</f>
        <v>0</v>
      </c>
      <c r="H404" s="3">
        <f>H400*H403*H402-H402</f>
        <v>1.54</v>
      </c>
      <c r="I404" s="3">
        <f>I400*I403*I402-I402</f>
        <v>0</v>
      </c>
      <c r="K404" s="3">
        <f>K400*K403*K402-K402</f>
        <v>-1</v>
      </c>
      <c r="L404" s="3">
        <f>L400*L403*L402-L402</f>
        <v>0</v>
      </c>
      <c r="M404" s="3">
        <f>M400*M403*M402-M402</f>
        <v>0</v>
      </c>
    </row>
    <row r="406" spans="1:14">
      <c r="A406" s="1" t="s">
        <v>26</v>
      </c>
      <c r="C406" s="1" t="s">
        <v>1</v>
      </c>
      <c r="E406" s="1">
        <f>0+C413+D413+E413 + E397</f>
        <v>9.8800000000000008</v>
      </c>
      <c r="G406" s="1" t="s">
        <v>2</v>
      </c>
      <c r="I406" s="1">
        <f>0+G413+H413+I413 + I397</f>
        <v>-7.4400000000000013</v>
      </c>
      <c r="K406" s="1" t="s">
        <v>3</v>
      </c>
      <c r="M406" s="1">
        <f>0+K413+L413+M413 + M397</f>
        <v>10.86</v>
      </c>
    </row>
    <row r="407" spans="1:14">
      <c r="A407" t="s">
        <v>68</v>
      </c>
      <c r="C407" s="2" t="s">
        <v>5</v>
      </c>
      <c r="D407" s="2" t="s">
        <v>6</v>
      </c>
      <c r="E407" s="2" t="s">
        <v>7</v>
      </c>
      <c r="G407" s="2" t="s">
        <v>8</v>
      </c>
      <c r="H407" s="2" t="s">
        <v>9</v>
      </c>
      <c r="I407" s="2" t="s">
        <v>10</v>
      </c>
      <c r="K407" s="2" t="s">
        <v>11</v>
      </c>
      <c r="L407" s="2" t="s">
        <v>12</v>
      </c>
      <c r="M407" s="2" t="s">
        <v>13</v>
      </c>
    </row>
    <row r="408" spans="1:14">
      <c r="A408" t="s">
        <v>14</v>
      </c>
      <c r="C408" s="3">
        <v>1.5680000000000001</v>
      </c>
      <c r="D408" s="3">
        <v>4.2670000000000003</v>
      </c>
      <c r="E408" s="3">
        <v>7.806</v>
      </c>
      <c r="G408" s="3">
        <v>1.7090000000000001</v>
      </c>
      <c r="H408" s="3">
        <v>3.8719999999999999</v>
      </c>
      <c r="I408" s="3">
        <v>6.3819999999999997</v>
      </c>
      <c r="K408" s="3">
        <v>1.7210000000000001</v>
      </c>
      <c r="L408" s="3">
        <v>4.42</v>
      </c>
      <c r="M408" s="3">
        <v>5.1859999999999999</v>
      </c>
    </row>
    <row r="409" spans="1:14">
      <c r="A409" t="s">
        <v>15</v>
      </c>
      <c r="C409" s="3">
        <v>1.48</v>
      </c>
      <c r="D409" s="3">
        <v>4.9000000000000004</v>
      </c>
      <c r="E409" s="3">
        <v>6.95</v>
      </c>
      <c r="G409" s="3">
        <v>2.02</v>
      </c>
      <c r="H409" s="3">
        <v>2.74</v>
      </c>
      <c r="I409" s="3">
        <v>6.05</v>
      </c>
      <c r="K409" s="3">
        <v>1.83</v>
      </c>
      <c r="L409" s="3">
        <v>3.05</v>
      </c>
      <c r="M409" s="3">
        <v>5.82</v>
      </c>
    </row>
    <row r="410" spans="1:14">
      <c r="A410" t="s">
        <v>16</v>
      </c>
      <c r="C410" s="3">
        <f>C409/C408</f>
        <v>0.94387755102040816</v>
      </c>
      <c r="D410" s="3">
        <f>D409/D408</f>
        <v>1.1483477853292712</v>
      </c>
      <c r="E410" s="3">
        <f>E409/E408</f>
        <v>0.89034076351524472</v>
      </c>
      <c r="G410" s="3">
        <f>G409/G408</f>
        <v>1.1819777647747221</v>
      </c>
      <c r="H410" s="3">
        <f>H409/H408</f>
        <v>0.70764462809917361</v>
      </c>
      <c r="I410" s="3">
        <f>I409/I408</f>
        <v>0.94797869006581015</v>
      </c>
      <c r="K410" s="3">
        <f>K409/K408</f>
        <v>1.0633352701917489</v>
      </c>
      <c r="L410" s="3">
        <f>L409/L408</f>
        <v>0.69004524886877827</v>
      </c>
      <c r="M410" s="3">
        <f>M409/M408</f>
        <v>1.1222522175086773</v>
      </c>
    </row>
    <row r="411" spans="1:14">
      <c r="A411" t="s">
        <v>17</v>
      </c>
      <c r="C411" s="3">
        <v>0</v>
      </c>
      <c r="D411" s="3">
        <v>1</v>
      </c>
      <c r="E411" s="3">
        <v>0</v>
      </c>
      <c r="G411" s="3">
        <v>1</v>
      </c>
      <c r="H411" s="3">
        <v>0</v>
      </c>
      <c r="I411" s="3">
        <v>0</v>
      </c>
      <c r="K411" s="3">
        <v>0</v>
      </c>
      <c r="L411" s="3">
        <v>0</v>
      </c>
      <c r="M411" s="3">
        <v>1</v>
      </c>
    </row>
    <row r="412" spans="1:14">
      <c r="A412" t="s">
        <v>18</v>
      </c>
      <c r="C412" s="3">
        <v>0</v>
      </c>
      <c r="D412" s="3">
        <v>1</v>
      </c>
      <c r="E412" s="3">
        <v>0</v>
      </c>
      <c r="G412" s="3">
        <v>1</v>
      </c>
      <c r="H412" s="3">
        <v>0</v>
      </c>
      <c r="I412" s="3">
        <v>0</v>
      </c>
      <c r="K412" s="3">
        <v>0</v>
      </c>
      <c r="L412" s="3">
        <v>0</v>
      </c>
      <c r="M412" s="3">
        <v>1</v>
      </c>
    </row>
    <row r="413" spans="1:14">
      <c r="A413" t="s">
        <v>19</v>
      </c>
      <c r="C413" s="3">
        <f>C409*C412*C411-C411</f>
        <v>0</v>
      </c>
      <c r="D413" s="3">
        <f>D409*D412*D411-D411</f>
        <v>3.9000000000000004</v>
      </c>
      <c r="E413" s="3">
        <f>E409*E412*E411-E411</f>
        <v>0</v>
      </c>
      <c r="G413" s="3">
        <f>G409*G412*G411-G411</f>
        <v>1.02</v>
      </c>
      <c r="H413" s="3">
        <f>H409*H412*H411-H411</f>
        <v>0</v>
      </c>
      <c r="I413" s="3">
        <f>I409*I412*I411-I411</f>
        <v>0</v>
      </c>
      <c r="K413" s="3">
        <f>K409*K412*K411-K411</f>
        <v>0</v>
      </c>
      <c r="L413" s="3">
        <f>L409*L412*L411-L411</f>
        <v>0</v>
      </c>
      <c r="M413" s="3">
        <f>M409*M412*M411-M411</f>
        <v>4.82</v>
      </c>
    </row>
    <row r="415" spans="1:14" s="7" customFormat="1">
      <c r="A415" s="6" t="s">
        <v>26</v>
      </c>
      <c r="C415" s="6" t="s">
        <v>1</v>
      </c>
      <c r="E415" s="6">
        <f>0+C422+D422+E422 + E406</f>
        <v>8.8800000000000008</v>
      </c>
      <c r="G415" s="6" t="s">
        <v>2</v>
      </c>
      <c r="I415" s="6">
        <f>0+G422+H422+I422 + I406</f>
        <v>-5.0800000000000018</v>
      </c>
      <c r="K415" s="6" t="s">
        <v>3</v>
      </c>
      <c r="M415" s="6">
        <f>0+K422+L422+M422 + M406</f>
        <v>9.86</v>
      </c>
      <c r="N415" s="7">
        <f>E415+I415+M415-N352</f>
        <v>8.6899999999999977</v>
      </c>
    </row>
    <row r="416" spans="1:14">
      <c r="A416" t="s">
        <v>69</v>
      </c>
      <c r="C416" s="2" t="s">
        <v>5</v>
      </c>
      <c r="D416" s="2" t="s">
        <v>6</v>
      </c>
      <c r="E416" s="2" t="s">
        <v>7</v>
      </c>
      <c r="G416" s="2" t="s">
        <v>8</v>
      </c>
      <c r="H416" s="2" t="s">
        <v>9</v>
      </c>
      <c r="I416" s="2" t="s">
        <v>10</v>
      </c>
      <c r="K416" s="2" t="s">
        <v>11</v>
      </c>
      <c r="L416" s="2" t="s">
        <v>12</v>
      </c>
      <c r="M416" s="2" t="s">
        <v>13</v>
      </c>
    </row>
    <row r="417" spans="1:13">
      <c r="A417" t="s">
        <v>14</v>
      </c>
      <c r="C417" s="3">
        <v>1.554</v>
      </c>
      <c r="D417" s="3">
        <v>5.23</v>
      </c>
      <c r="E417" s="3">
        <v>6.0449999999999999</v>
      </c>
      <c r="G417" s="3">
        <v>4.5949999999999998</v>
      </c>
      <c r="H417" s="3">
        <v>1.446</v>
      </c>
      <c r="I417" s="3">
        <v>10.972</v>
      </c>
      <c r="K417" s="3">
        <v>1.581</v>
      </c>
      <c r="L417" s="3">
        <v>5.2560000000000002</v>
      </c>
      <c r="M417" s="3">
        <v>5.64</v>
      </c>
    </row>
    <row r="418" spans="1:13">
      <c r="A418" t="s">
        <v>15</v>
      </c>
      <c r="C418" s="3">
        <v>2.2999999999999998</v>
      </c>
      <c r="D418" s="3">
        <v>3.55</v>
      </c>
      <c r="E418" s="3">
        <v>3.04</v>
      </c>
      <c r="G418" s="3">
        <v>3.08</v>
      </c>
      <c r="H418" s="3">
        <v>3.36</v>
      </c>
      <c r="I418" s="3">
        <v>3.55</v>
      </c>
      <c r="K418" s="3">
        <v>2.78</v>
      </c>
      <c r="L418" s="3">
        <v>2.67</v>
      </c>
      <c r="M418" s="3">
        <v>3.21</v>
      </c>
    </row>
    <row r="419" spans="1:13">
      <c r="A419" t="s">
        <v>16</v>
      </c>
      <c r="C419" s="3">
        <f>C418/C417</f>
        <v>1.4800514800514799</v>
      </c>
      <c r="D419" s="3">
        <f>D418/D417</f>
        <v>0.678776290630975</v>
      </c>
      <c r="E419" s="3">
        <f>E418/E417</f>
        <v>0.50289495450785771</v>
      </c>
      <c r="G419" s="3">
        <f>G418/G417</f>
        <v>0.67029379760609364</v>
      </c>
      <c r="H419" s="3">
        <f>H418/H417</f>
        <v>2.3236514522821579</v>
      </c>
      <c r="I419" s="3">
        <f>I418/I417</f>
        <v>0.3235508567262122</v>
      </c>
      <c r="K419" s="3">
        <f>K418/K417</f>
        <v>1.758380771663504</v>
      </c>
      <c r="L419" s="3">
        <f>L418/L417</f>
        <v>0.50799086757990863</v>
      </c>
      <c r="M419" s="3">
        <f>M418/M417</f>
        <v>0.56914893617021278</v>
      </c>
    </row>
    <row r="420" spans="1:13">
      <c r="A420" t="s">
        <v>17</v>
      </c>
      <c r="C420" s="3">
        <v>1</v>
      </c>
      <c r="D420" s="3">
        <v>0</v>
      </c>
      <c r="E420" s="3">
        <v>0</v>
      </c>
      <c r="G420" s="3">
        <v>0</v>
      </c>
      <c r="H420" s="3">
        <v>1</v>
      </c>
      <c r="I420" s="3">
        <v>0</v>
      </c>
      <c r="K420" s="3">
        <v>1</v>
      </c>
      <c r="L420" s="3">
        <v>0</v>
      </c>
      <c r="M420" s="3">
        <v>0</v>
      </c>
    </row>
    <row r="421" spans="1:13">
      <c r="A421" t="s">
        <v>18</v>
      </c>
      <c r="C421" s="3">
        <v>0</v>
      </c>
      <c r="D421" s="3">
        <v>0</v>
      </c>
      <c r="E421" s="3">
        <v>1</v>
      </c>
      <c r="G421" s="3">
        <v>0</v>
      </c>
      <c r="H421" s="3">
        <v>1</v>
      </c>
      <c r="I421" s="3">
        <v>0</v>
      </c>
      <c r="K421" s="3">
        <v>0</v>
      </c>
      <c r="L421" s="3">
        <v>0</v>
      </c>
      <c r="M421" s="3">
        <v>1</v>
      </c>
    </row>
    <row r="422" spans="1:13">
      <c r="A422" t="s">
        <v>19</v>
      </c>
      <c r="C422" s="3">
        <f>C418*C421*C420-C420</f>
        <v>-1</v>
      </c>
      <c r="D422" s="3">
        <f>D418*D421*D420-D420</f>
        <v>0</v>
      </c>
      <c r="E422" s="3">
        <f>E418*E421*E420-E420</f>
        <v>0</v>
      </c>
      <c r="G422" s="3">
        <f>G418*G421*G420-G420</f>
        <v>0</v>
      </c>
      <c r="H422" s="3">
        <f>H418*H421*H420-H420</f>
        <v>2.36</v>
      </c>
      <c r="I422" s="3">
        <f>I418*I421*I420-I420</f>
        <v>0</v>
      </c>
      <c r="K422" s="3">
        <f>K418*K421*K420-K420</f>
        <v>-1</v>
      </c>
      <c r="L422" s="3">
        <f>L418*L421*L420-L420</f>
        <v>0</v>
      </c>
      <c r="M422" s="3">
        <f>M418*M421*M420-M420</f>
        <v>0</v>
      </c>
    </row>
    <row r="424" spans="1:13">
      <c r="A424" s="1" t="s">
        <v>33</v>
      </c>
      <c r="C424" s="1" t="s">
        <v>1</v>
      </c>
      <c r="E424" s="1">
        <f>0+C431+D431+E431 + E415</f>
        <v>7.8800000000000008</v>
      </c>
      <c r="G424" s="1" t="s">
        <v>2</v>
      </c>
      <c r="I424" s="1">
        <f>0+G431+H431+I431 + I415</f>
        <v>-6.0800000000000018</v>
      </c>
      <c r="K424" s="1" t="s">
        <v>3</v>
      </c>
      <c r="M424" s="1">
        <f>0+K431+L431+M431 + M415</f>
        <v>8.86</v>
      </c>
    </row>
    <row r="425" spans="1:13">
      <c r="A425" t="s">
        <v>70</v>
      </c>
      <c r="C425" s="2" t="s">
        <v>5</v>
      </c>
      <c r="D425" s="2" t="s">
        <v>6</v>
      </c>
      <c r="E425" s="2" t="s">
        <v>7</v>
      </c>
      <c r="G425" s="2" t="s">
        <v>8</v>
      </c>
      <c r="H425" s="2" t="s">
        <v>9</v>
      </c>
      <c r="I425" s="2" t="s">
        <v>10</v>
      </c>
      <c r="K425" s="2" t="s">
        <v>11</v>
      </c>
      <c r="L425" s="2" t="s">
        <v>12</v>
      </c>
      <c r="M425" s="2" t="s">
        <v>13</v>
      </c>
    </row>
    <row r="426" spans="1:13">
      <c r="A426" t="s">
        <v>14</v>
      </c>
      <c r="C426" s="3">
        <v>2.4729999999999999</v>
      </c>
      <c r="D426" s="3">
        <v>3.706</v>
      </c>
      <c r="E426" s="3">
        <v>3.0670000000000002</v>
      </c>
      <c r="G426" s="3">
        <v>3.19</v>
      </c>
      <c r="H426" s="3">
        <v>2.4660000000000002</v>
      </c>
      <c r="I426" s="3">
        <v>3.556</v>
      </c>
      <c r="K426" s="3">
        <v>2.476</v>
      </c>
      <c r="L426" s="3">
        <v>4.0439999999999996</v>
      </c>
      <c r="M426" s="3">
        <v>2.8660000000000001</v>
      </c>
    </row>
    <row r="427" spans="1:13">
      <c r="A427" t="s">
        <v>15</v>
      </c>
      <c r="C427" s="3">
        <v>2.5</v>
      </c>
      <c r="D427" s="3">
        <v>3.3</v>
      </c>
      <c r="E427" s="3">
        <v>3.12</v>
      </c>
      <c r="G427" s="3">
        <v>3.22</v>
      </c>
      <c r="H427" s="3">
        <v>2.15</v>
      </c>
      <c r="I427" s="3">
        <v>3.87</v>
      </c>
      <c r="K427" s="3">
        <v>2.75</v>
      </c>
      <c r="L427" s="3">
        <v>2.2999999999999998</v>
      </c>
      <c r="M427" s="3">
        <v>3.1</v>
      </c>
    </row>
    <row r="428" spans="1:13">
      <c r="A428" t="s">
        <v>16</v>
      </c>
      <c r="C428" s="3">
        <f>C427/C426</f>
        <v>1.0109179134654267</v>
      </c>
      <c r="D428" s="3">
        <f>D427/D426</f>
        <v>0.89044792228818126</v>
      </c>
      <c r="E428" s="3">
        <f>E427/E426</f>
        <v>1.0172807303553961</v>
      </c>
      <c r="G428" s="3">
        <f>G427/G426</f>
        <v>1.0094043887147337</v>
      </c>
      <c r="H428" s="3">
        <f>H427/H426</f>
        <v>0.87185725871857245</v>
      </c>
      <c r="I428" s="3">
        <f>I427/I426</f>
        <v>1.0883014623172103</v>
      </c>
      <c r="K428" s="3">
        <f>K427/K426</f>
        <v>1.1106623586429725</v>
      </c>
      <c r="L428" s="3">
        <f>L427/L426</f>
        <v>0.56874381800197826</v>
      </c>
      <c r="M428" s="3">
        <f>M427/M426</f>
        <v>1.0816468946266573</v>
      </c>
    </row>
    <row r="429" spans="1:13">
      <c r="A429" t="s">
        <v>17</v>
      </c>
      <c r="C429" s="3">
        <v>1</v>
      </c>
      <c r="D429" s="3">
        <v>0</v>
      </c>
      <c r="E429" s="3">
        <v>0</v>
      </c>
      <c r="G429" s="3">
        <v>1</v>
      </c>
      <c r="H429" s="3">
        <v>0</v>
      </c>
      <c r="I429" s="3">
        <v>0</v>
      </c>
      <c r="K429" s="3">
        <v>1</v>
      </c>
      <c r="L429" s="3">
        <v>0</v>
      </c>
      <c r="M429" s="3">
        <v>0</v>
      </c>
    </row>
    <row r="430" spans="1:13">
      <c r="A430" t="s">
        <v>18</v>
      </c>
      <c r="C430" s="3">
        <v>0</v>
      </c>
      <c r="D430" s="3">
        <v>1</v>
      </c>
      <c r="E430" s="3">
        <v>0</v>
      </c>
      <c r="G430" s="3">
        <v>0</v>
      </c>
      <c r="H430" s="3">
        <v>1</v>
      </c>
      <c r="I430" s="3">
        <v>0</v>
      </c>
      <c r="K430" s="3">
        <v>0</v>
      </c>
      <c r="L430" s="3">
        <v>1</v>
      </c>
      <c r="M430" s="3">
        <v>0</v>
      </c>
    </row>
    <row r="431" spans="1:13">
      <c r="A431" t="s">
        <v>19</v>
      </c>
      <c r="C431" s="3">
        <f>C427*C430*C429-C429</f>
        <v>-1</v>
      </c>
      <c r="D431" s="3">
        <f>D427*D430*D429-D429</f>
        <v>0</v>
      </c>
      <c r="E431" s="3">
        <f>E427*E430*E429-E429</f>
        <v>0</v>
      </c>
      <c r="G431" s="3">
        <f>G427*G430*G429-G429</f>
        <v>-1</v>
      </c>
      <c r="H431" s="3">
        <f>H427*H430*H429-H429</f>
        <v>0</v>
      </c>
      <c r="I431" s="3">
        <f>I427*I430*I429-I429</f>
        <v>0</v>
      </c>
      <c r="K431" s="3">
        <f>K427*K430*K429-K429</f>
        <v>-1</v>
      </c>
      <c r="L431" s="3">
        <f>L427*L430*L429-L429</f>
        <v>0</v>
      </c>
      <c r="M431" s="3">
        <f>M427*M430*M429-M429</f>
        <v>0</v>
      </c>
    </row>
    <row r="433" spans="1:13">
      <c r="A433" s="1" t="s">
        <v>33</v>
      </c>
      <c r="C433" s="1" t="s">
        <v>1</v>
      </c>
      <c r="E433" s="1">
        <f>0+C440+D440+E440 + E424</f>
        <v>6.8800000000000008</v>
      </c>
      <c r="G433" s="1" t="s">
        <v>2</v>
      </c>
      <c r="I433" s="1">
        <f>0+G440+H440+I440 + I424</f>
        <v>-5.0600000000000023</v>
      </c>
      <c r="K433" s="1" t="s">
        <v>3</v>
      </c>
      <c r="M433" s="1">
        <f>0+K440+L440+M440 + M424</f>
        <v>7.8599999999999994</v>
      </c>
    </row>
    <row r="434" spans="1:13">
      <c r="A434" t="s">
        <v>71</v>
      </c>
      <c r="C434" s="2" t="s">
        <v>5</v>
      </c>
      <c r="D434" s="2" t="s">
        <v>6</v>
      </c>
      <c r="E434" s="2" t="s">
        <v>7</v>
      </c>
      <c r="G434" s="2" t="s">
        <v>8</v>
      </c>
      <c r="H434" s="2" t="s">
        <v>9</v>
      </c>
      <c r="I434" s="2" t="s">
        <v>10</v>
      </c>
      <c r="K434" s="2" t="s">
        <v>11</v>
      </c>
      <c r="L434" s="2" t="s">
        <v>12</v>
      </c>
      <c r="M434" s="2" t="s">
        <v>13</v>
      </c>
    </row>
    <row r="435" spans="1:13">
      <c r="A435" t="s">
        <v>14</v>
      </c>
      <c r="C435" s="3">
        <v>2.5299999999999998</v>
      </c>
      <c r="D435" s="3">
        <v>2.6739999999999999</v>
      </c>
      <c r="E435" s="3">
        <v>4.3310000000000004</v>
      </c>
      <c r="G435" s="3">
        <v>5.726</v>
      </c>
      <c r="H435" s="3">
        <v>1.5009999999999999</v>
      </c>
      <c r="I435" s="3">
        <v>6.26</v>
      </c>
      <c r="K435" s="3">
        <v>3.5310000000000001</v>
      </c>
      <c r="L435" s="3">
        <v>1.7310000000000001</v>
      </c>
      <c r="M435" s="3">
        <v>7.1820000000000004</v>
      </c>
    </row>
    <row r="436" spans="1:13">
      <c r="A436" t="s">
        <v>15</v>
      </c>
      <c r="C436" s="3">
        <v>2.21</v>
      </c>
      <c r="D436" s="3">
        <v>3.02</v>
      </c>
      <c r="E436" s="3">
        <v>4.09</v>
      </c>
      <c r="G436" s="3">
        <v>3.06</v>
      </c>
      <c r="H436" s="3">
        <v>2.02</v>
      </c>
      <c r="I436" s="3">
        <v>4.7</v>
      </c>
      <c r="K436" s="3">
        <v>2.68</v>
      </c>
      <c r="L436" s="3">
        <v>2.36</v>
      </c>
      <c r="M436" s="3">
        <v>4.0999999999999996</v>
      </c>
    </row>
    <row r="437" spans="1:13">
      <c r="A437" t="s">
        <v>16</v>
      </c>
      <c r="C437" s="3">
        <f>C436/C435</f>
        <v>0.87351778656126489</v>
      </c>
      <c r="D437" s="3">
        <f>D436/D435</f>
        <v>1.1293941660433808</v>
      </c>
      <c r="E437" s="3">
        <f>E436/E435</f>
        <v>0.94435465250519501</v>
      </c>
      <c r="G437" s="3">
        <f>G436/G435</f>
        <v>0.5344044708347887</v>
      </c>
      <c r="H437" s="3">
        <f>H436/H435</f>
        <v>1.3457694870086609</v>
      </c>
      <c r="I437" s="3">
        <f>I436/I435</f>
        <v>0.75079872204472853</v>
      </c>
      <c r="K437" s="3">
        <f>K436/K435</f>
        <v>0.75899178702917025</v>
      </c>
      <c r="L437" s="3">
        <f>L436/L435</f>
        <v>1.3633737723859038</v>
      </c>
      <c r="M437" s="3">
        <f>M436/M435</f>
        <v>0.57087162350320242</v>
      </c>
    </row>
    <row r="438" spans="1:13">
      <c r="A438" t="s">
        <v>17</v>
      </c>
      <c r="C438" s="3">
        <v>0</v>
      </c>
      <c r="D438" s="3">
        <v>1</v>
      </c>
      <c r="E438" s="3">
        <v>0</v>
      </c>
      <c r="G438" s="3">
        <v>0</v>
      </c>
      <c r="H438" s="3">
        <v>1</v>
      </c>
      <c r="I438" s="3">
        <v>0</v>
      </c>
      <c r="K438" s="3">
        <v>0</v>
      </c>
      <c r="L438" s="3">
        <v>1</v>
      </c>
      <c r="M438" s="3">
        <v>0</v>
      </c>
    </row>
    <row r="439" spans="1:13">
      <c r="A439" t="s">
        <v>18</v>
      </c>
      <c r="C439" s="3">
        <v>0</v>
      </c>
      <c r="D439" s="3">
        <v>0</v>
      </c>
      <c r="E439" s="3">
        <v>1</v>
      </c>
      <c r="G439" s="3">
        <v>0</v>
      </c>
      <c r="H439" s="3">
        <v>1</v>
      </c>
      <c r="I439" s="3">
        <v>0</v>
      </c>
      <c r="K439" s="3">
        <v>0</v>
      </c>
      <c r="L439" s="3">
        <v>0</v>
      </c>
      <c r="M439" s="3">
        <v>1</v>
      </c>
    </row>
    <row r="440" spans="1:13">
      <c r="A440" t="s">
        <v>19</v>
      </c>
      <c r="C440" s="3">
        <f>C436*C439*C438-C438</f>
        <v>0</v>
      </c>
      <c r="D440" s="3">
        <f>D436*D439*D438-D438</f>
        <v>-1</v>
      </c>
      <c r="E440" s="3">
        <f>E436*E439*E438-E438</f>
        <v>0</v>
      </c>
      <c r="G440" s="3">
        <f>G436*G439*G438-G438</f>
        <v>0</v>
      </c>
      <c r="H440" s="3">
        <f>H436*H439*H438-H438</f>
        <v>1.02</v>
      </c>
      <c r="I440" s="3">
        <f>I436*I439*I438-I438</f>
        <v>0</v>
      </c>
      <c r="K440" s="3">
        <f>K436*K439*K438-K438</f>
        <v>0</v>
      </c>
      <c r="L440" s="3">
        <f>L436*L439*L438-L438</f>
        <v>-1</v>
      </c>
      <c r="M440" s="3">
        <f>M436*M439*M438-M438</f>
        <v>0</v>
      </c>
    </row>
    <row r="442" spans="1:13">
      <c r="A442" s="1" t="s">
        <v>33</v>
      </c>
      <c r="C442" s="1" t="s">
        <v>1</v>
      </c>
      <c r="E442" s="1">
        <f>0+C449+D449+E449 + E433</f>
        <v>5.8800000000000008</v>
      </c>
      <c r="G442" s="1" t="s">
        <v>2</v>
      </c>
      <c r="I442" s="1">
        <f>0+G449+H449+I449 + I433</f>
        <v>-1.7200000000000024</v>
      </c>
      <c r="K442" s="1" t="s">
        <v>3</v>
      </c>
      <c r="M442" s="1">
        <f>0+K449+L449+M449 + M433</f>
        <v>6.8599999999999994</v>
      </c>
    </row>
    <row r="443" spans="1:13">
      <c r="A443" t="s">
        <v>72</v>
      </c>
      <c r="C443" s="2" t="s">
        <v>5</v>
      </c>
      <c r="D443" s="2" t="s">
        <v>6</v>
      </c>
      <c r="E443" s="2" t="s">
        <v>7</v>
      </c>
      <c r="G443" s="2" t="s">
        <v>8</v>
      </c>
      <c r="H443" s="2" t="s">
        <v>9</v>
      </c>
      <c r="I443" s="2" t="s">
        <v>10</v>
      </c>
      <c r="K443" s="2" t="s">
        <v>11</v>
      </c>
      <c r="L443" s="2" t="s">
        <v>12</v>
      </c>
      <c r="M443" s="2" t="s">
        <v>13</v>
      </c>
    </row>
    <row r="444" spans="1:13">
      <c r="A444" t="s">
        <v>14</v>
      </c>
      <c r="C444" s="3">
        <v>1.68</v>
      </c>
      <c r="D444" s="3">
        <v>7.4870000000000001</v>
      </c>
      <c r="E444" s="3">
        <v>3.6850000000000001</v>
      </c>
      <c r="G444" s="3">
        <v>2.5960000000000001</v>
      </c>
      <c r="H444" s="3">
        <v>3.1389999999999998</v>
      </c>
      <c r="I444" s="3">
        <v>3.3730000000000002</v>
      </c>
      <c r="K444" s="3">
        <v>2.2589999999999999</v>
      </c>
      <c r="L444" s="3">
        <v>4.0119999999999996</v>
      </c>
      <c r="M444" s="3">
        <v>3.2440000000000002</v>
      </c>
    </row>
    <row r="445" spans="1:13">
      <c r="A445" t="s">
        <v>15</v>
      </c>
      <c r="C445" s="3">
        <v>2.04</v>
      </c>
      <c r="D445" s="3">
        <v>3.55</v>
      </c>
      <c r="E445" s="3">
        <v>3.98</v>
      </c>
      <c r="G445" s="3">
        <v>2.63</v>
      </c>
      <c r="H445" s="3">
        <v>2.38</v>
      </c>
      <c r="I445" s="3">
        <v>4.34</v>
      </c>
      <c r="K445" s="3">
        <v>2.4</v>
      </c>
      <c r="L445" s="3">
        <v>2.77</v>
      </c>
      <c r="M445" s="3">
        <v>3.73</v>
      </c>
    </row>
    <row r="446" spans="1:13">
      <c r="A446" t="s">
        <v>16</v>
      </c>
      <c r="C446" s="3">
        <f>C445/C444</f>
        <v>1.2142857142857144</v>
      </c>
      <c r="D446" s="3">
        <f>D445/D444</f>
        <v>0.47415520235074127</v>
      </c>
      <c r="E446" s="3">
        <f>E445/E444</f>
        <v>1.0800542740841248</v>
      </c>
      <c r="G446" s="3">
        <f>G445/G444</f>
        <v>1.0130970724191062</v>
      </c>
      <c r="H446" s="3">
        <f>H445/H444</f>
        <v>0.75820324944249762</v>
      </c>
      <c r="I446" s="3">
        <f>I445/I444</f>
        <v>1.286688407945449</v>
      </c>
      <c r="K446" s="3">
        <f>K445/K444</f>
        <v>1.0624169986719787</v>
      </c>
      <c r="L446" s="3">
        <f>L445/L444</f>
        <v>0.69042871385842486</v>
      </c>
      <c r="M446" s="3">
        <f>M445/M444</f>
        <v>1.1498150431565968</v>
      </c>
    </row>
    <row r="447" spans="1:13">
      <c r="A447" t="s">
        <v>17</v>
      </c>
      <c r="C447" s="3">
        <v>1</v>
      </c>
      <c r="D447" s="3">
        <v>0</v>
      </c>
      <c r="E447" s="3">
        <v>0</v>
      </c>
      <c r="G447" s="3">
        <v>0</v>
      </c>
      <c r="H447" s="3">
        <v>0</v>
      </c>
      <c r="I447" s="3">
        <v>1</v>
      </c>
      <c r="K447" s="3">
        <v>0</v>
      </c>
      <c r="L447" s="3">
        <v>0</v>
      </c>
      <c r="M447" s="3">
        <v>1</v>
      </c>
    </row>
    <row r="448" spans="1:13">
      <c r="A448" t="s">
        <v>18</v>
      </c>
      <c r="C448" s="3">
        <v>0</v>
      </c>
      <c r="D448" s="3">
        <v>1</v>
      </c>
      <c r="E448" s="3">
        <v>0</v>
      </c>
      <c r="G448" s="3">
        <v>0</v>
      </c>
      <c r="H448" s="3">
        <v>0</v>
      </c>
      <c r="I448" s="3">
        <v>1</v>
      </c>
      <c r="K448" s="3">
        <v>1</v>
      </c>
      <c r="L448" s="3">
        <v>0</v>
      </c>
      <c r="M448" s="3">
        <v>0</v>
      </c>
    </row>
    <row r="449" spans="1:13">
      <c r="A449" t="s">
        <v>19</v>
      </c>
      <c r="C449" s="3">
        <f>C445*C448*C447-C447</f>
        <v>-1</v>
      </c>
      <c r="D449" s="3">
        <f>D445*D448*D447-D447</f>
        <v>0</v>
      </c>
      <c r="E449" s="3">
        <f>E445*E448*E447-E447</f>
        <v>0</v>
      </c>
      <c r="G449" s="3">
        <f>G445*G448*G447-G447</f>
        <v>0</v>
      </c>
      <c r="H449" s="3">
        <f>H445*H448*H447-H447</f>
        <v>0</v>
      </c>
      <c r="I449" s="3">
        <f>I445*I448*I447-I447</f>
        <v>3.34</v>
      </c>
      <c r="K449" s="3">
        <f>K445*K448*K447-K447</f>
        <v>0</v>
      </c>
      <c r="L449" s="3">
        <f>L445*L448*L447-L447</f>
        <v>0</v>
      </c>
      <c r="M449" s="3">
        <f>M445*M448*M447-M447</f>
        <v>-1</v>
      </c>
    </row>
    <row r="451" spans="1:13">
      <c r="A451" s="1" t="s">
        <v>33</v>
      </c>
      <c r="C451" s="1" t="s">
        <v>1</v>
      </c>
      <c r="E451" s="1">
        <f>0+C458+D458+E458 + E442</f>
        <v>4.8800000000000008</v>
      </c>
      <c r="G451" s="1" t="s">
        <v>2</v>
      </c>
      <c r="I451" s="1">
        <f>0+G458+H458+I458 + I442</f>
        <v>-2.7200000000000024</v>
      </c>
      <c r="K451" s="1" t="s">
        <v>3</v>
      </c>
      <c r="M451" s="1">
        <f>0+K458+L458+M458 + M442</f>
        <v>5.8599999999999994</v>
      </c>
    </row>
    <row r="452" spans="1:13">
      <c r="A452" t="s">
        <v>73</v>
      </c>
      <c r="C452" s="2" t="s">
        <v>5</v>
      </c>
      <c r="D452" s="2" t="s">
        <v>6</v>
      </c>
      <c r="E452" s="2" t="s">
        <v>7</v>
      </c>
      <c r="G452" s="2" t="s">
        <v>8</v>
      </c>
      <c r="H452" s="2" t="s">
        <v>9</v>
      </c>
      <c r="I452" s="2" t="s">
        <v>10</v>
      </c>
      <c r="K452" s="2" t="s">
        <v>11</v>
      </c>
      <c r="L452" s="2" t="s">
        <v>12</v>
      </c>
      <c r="M452" s="2" t="s">
        <v>13</v>
      </c>
    </row>
    <row r="453" spans="1:13">
      <c r="A453" t="s">
        <v>14</v>
      </c>
      <c r="C453" s="3">
        <v>3.343</v>
      </c>
      <c r="D453" s="3">
        <v>2.9660000000000002</v>
      </c>
      <c r="E453" s="3">
        <v>2.7480000000000002</v>
      </c>
      <c r="G453" s="3">
        <v>3.0379999999999998</v>
      </c>
      <c r="H453" s="3">
        <v>2.859</v>
      </c>
      <c r="I453" s="3">
        <v>3.113</v>
      </c>
      <c r="K453" s="3">
        <v>3.581</v>
      </c>
      <c r="L453" s="3">
        <v>3.2280000000000002</v>
      </c>
      <c r="M453" s="3">
        <v>2.4319999999999999</v>
      </c>
    </row>
    <row r="454" spans="1:13">
      <c r="A454" t="s">
        <v>15</v>
      </c>
      <c r="C454" s="3">
        <v>2.63</v>
      </c>
      <c r="D454" s="3">
        <v>3.1</v>
      </c>
      <c r="E454" s="3">
        <v>3.26</v>
      </c>
      <c r="G454" s="3">
        <v>3.3</v>
      </c>
      <c r="H454" s="3">
        <v>2.17</v>
      </c>
      <c r="I454" s="3">
        <v>3.79</v>
      </c>
      <c r="K454" s="3">
        <v>2.94</v>
      </c>
      <c r="L454" s="3">
        <v>2.46</v>
      </c>
      <c r="M454" s="3">
        <v>3.32</v>
      </c>
    </row>
    <row r="455" spans="1:13">
      <c r="A455" t="s">
        <v>16</v>
      </c>
      <c r="C455" s="3">
        <f>C454/C453</f>
        <v>0.78671851630272205</v>
      </c>
      <c r="D455" s="3">
        <f>D454/D453</f>
        <v>1.045178691840863</v>
      </c>
      <c r="E455" s="3">
        <f>E454/E453</f>
        <v>1.1863173216885006</v>
      </c>
      <c r="G455" s="3">
        <f>G454/G453</f>
        <v>1.0862409479921</v>
      </c>
      <c r="H455" s="3">
        <f>H454/H453</f>
        <v>0.75900664568030773</v>
      </c>
      <c r="I455" s="3">
        <f>I454/I453</f>
        <v>1.2174751044008996</v>
      </c>
      <c r="K455" s="3">
        <f>K454/K453</f>
        <v>0.82099972074839433</v>
      </c>
      <c r="L455" s="3">
        <f>L454/L453</f>
        <v>0.762081784386617</v>
      </c>
      <c r="M455" s="3">
        <f>M454/M453</f>
        <v>1.3651315789473684</v>
      </c>
    </row>
    <row r="456" spans="1:13">
      <c r="A456" t="s">
        <v>17</v>
      </c>
      <c r="C456" s="3">
        <v>0</v>
      </c>
      <c r="D456" s="3">
        <v>1</v>
      </c>
      <c r="E456" s="3">
        <v>0</v>
      </c>
      <c r="G456" s="3">
        <v>0</v>
      </c>
      <c r="H456" s="3">
        <v>0</v>
      </c>
      <c r="I456" s="3">
        <v>1</v>
      </c>
      <c r="K456" s="3">
        <v>0</v>
      </c>
      <c r="L456" s="3">
        <v>0</v>
      </c>
      <c r="M456" s="3">
        <v>1</v>
      </c>
    </row>
    <row r="457" spans="1:13">
      <c r="A457" t="s">
        <v>18</v>
      </c>
      <c r="C457" s="3">
        <v>1</v>
      </c>
      <c r="D457" s="3">
        <v>0</v>
      </c>
      <c r="E457" s="3">
        <v>0</v>
      </c>
      <c r="G457" s="3">
        <v>0</v>
      </c>
      <c r="H457" s="3">
        <v>1</v>
      </c>
      <c r="I457" s="3">
        <v>0</v>
      </c>
      <c r="K457" s="3">
        <v>1</v>
      </c>
      <c r="L457" s="3">
        <v>0</v>
      </c>
      <c r="M457" s="3">
        <v>0</v>
      </c>
    </row>
    <row r="458" spans="1:13">
      <c r="A458" t="s">
        <v>19</v>
      </c>
      <c r="C458" s="3">
        <f>C454*C457*C456-C456</f>
        <v>0</v>
      </c>
      <c r="D458" s="3">
        <f>D454*D457*D456-D456</f>
        <v>-1</v>
      </c>
      <c r="E458" s="3">
        <f>E454*E457*E456-E456</f>
        <v>0</v>
      </c>
      <c r="G458" s="3">
        <f>G454*G457*G456-G456</f>
        <v>0</v>
      </c>
      <c r="H458" s="3">
        <f>H454*H457*H456-H456</f>
        <v>0</v>
      </c>
      <c r="I458" s="3">
        <f>I454*I457*I456-I456</f>
        <v>-1</v>
      </c>
      <c r="K458" s="3">
        <f>K454*K457*K456-K456</f>
        <v>0</v>
      </c>
      <c r="L458" s="3">
        <f>L454*L457*L456-L456</f>
        <v>0</v>
      </c>
      <c r="M458" s="3">
        <f>M454*M457*M456-M456</f>
        <v>-1</v>
      </c>
    </row>
    <row r="460" spans="1:13">
      <c r="A460" s="1" t="s">
        <v>33</v>
      </c>
      <c r="C460" s="1" t="s">
        <v>1</v>
      </c>
      <c r="E460" s="1">
        <f>0+C467+D467+E467 + E451</f>
        <v>3.8800000000000008</v>
      </c>
      <c r="G460" s="1" t="s">
        <v>2</v>
      </c>
      <c r="I460" s="1">
        <f>0+G467+H467+I467 + I451</f>
        <v>-3.7200000000000024</v>
      </c>
      <c r="K460" s="1" t="s">
        <v>3</v>
      </c>
      <c r="M460" s="1">
        <f>0+K467+L467+M467 + M451</f>
        <v>10.149999999999999</v>
      </c>
    </row>
    <row r="461" spans="1:13">
      <c r="A461" t="s">
        <v>74</v>
      </c>
      <c r="C461" s="2" t="s">
        <v>5</v>
      </c>
      <c r="D461" s="2" t="s">
        <v>6</v>
      </c>
      <c r="E461" s="2" t="s">
        <v>7</v>
      </c>
      <c r="G461" s="2" t="s">
        <v>8</v>
      </c>
      <c r="H461" s="2" t="s">
        <v>9</v>
      </c>
      <c r="I461" s="2" t="s">
        <v>10</v>
      </c>
      <c r="K461" s="2" t="s">
        <v>11</v>
      </c>
      <c r="L461" s="2" t="s">
        <v>12</v>
      </c>
      <c r="M461" s="2" t="s">
        <v>13</v>
      </c>
    </row>
    <row r="462" spans="1:13">
      <c r="A462" t="s">
        <v>14</v>
      </c>
      <c r="C462" s="3">
        <v>1.72</v>
      </c>
      <c r="D462" s="3">
        <v>4.0019999999999998</v>
      </c>
      <c r="E462" s="3">
        <v>5.9169999999999998</v>
      </c>
      <c r="G462" s="3">
        <v>1.728</v>
      </c>
      <c r="H462" s="3">
        <v>2.8340000000000001</v>
      </c>
      <c r="I462" s="3">
        <v>11.603</v>
      </c>
      <c r="K462" s="3">
        <v>5.3049999999999997</v>
      </c>
      <c r="L462" s="3">
        <v>2.1219999999999999</v>
      </c>
      <c r="M462" s="3">
        <v>2.9359999999999999</v>
      </c>
    </row>
    <row r="463" spans="1:13">
      <c r="A463" t="s">
        <v>15</v>
      </c>
      <c r="C463" s="3">
        <v>2</v>
      </c>
      <c r="D463" s="3">
        <v>2.98</v>
      </c>
      <c r="E463" s="3">
        <v>5.45</v>
      </c>
      <c r="G463" s="3">
        <v>2.92</v>
      </c>
      <c r="H463" s="3">
        <v>1.85</v>
      </c>
      <c r="I463" s="3">
        <v>6.84</v>
      </c>
      <c r="K463" s="3">
        <v>2.52</v>
      </c>
      <c r="L463" s="3">
        <v>2.17</v>
      </c>
      <c r="M463" s="3">
        <v>5.29</v>
      </c>
    </row>
    <row r="464" spans="1:13">
      <c r="A464" t="s">
        <v>16</v>
      </c>
      <c r="C464" s="3">
        <f>C463/C462</f>
        <v>1.1627906976744187</v>
      </c>
      <c r="D464" s="3">
        <f>D463/D462</f>
        <v>0.74462768615692154</v>
      </c>
      <c r="E464" s="3">
        <f>E463/E462</f>
        <v>0.92107486902146363</v>
      </c>
      <c r="G464" s="3">
        <f>G463/G462</f>
        <v>1.6898148148148149</v>
      </c>
      <c r="H464" s="3">
        <f>H463/H462</f>
        <v>0.65278757939308396</v>
      </c>
      <c r="I464" s="3">
        <f>I463/I462</f>
        <v>0.58950271481513405</v>
      </c>
      <c r="K464" s="3">
        <f>K463/K462</f>
        <v>0.47502356267672008</v>
      </c>
      <c r="L464" s="3">
        <f>L463/L462</f>
        <v>1.0226201696512724</v>
      </c>
      <c r="M464" s="3">
        <f>M463/M462</f>
        <v>1.8017711171662125</v>
      </c>
    </row>
    <row r="465" spans="1:14">
      <c r="A465" t="s">
        <v>17</v>
      </c>
      <c r="C465" s="3">
        <v>1</v>
      </c>
      <c r="D465" s="3">
        <v>0</v>
      </c>
      <c r="E465" s="3">
        <v>0</v>
      </c>
      <c r="G465" s="3">
        <v>1</v>
      </c>
      <c r="H465" s="3">
        <v>0</v>
      </c>
      <c r="I465" s="3">
        <v>0</v>
      </c>
      <c r="K465" s="3">
        <v>0</v>
      </c>
      <c r="L465" s="3">
        <v>0</v>
      </c>
      <c r="M465" s="3">
        <v>1</v>
      </c>
    </row>
    <row r="466" spans="1:14">
      <c r="A466" t="s">
        <v>18</v>
      </c>
      <c r="C466" s="3">
        <v>0</v>
      </c>
      <c r="D466" s="3">
        <v>0</v>
      </c>
      <c r="E466" s="3">
        <v>1</v>
      </c>
      <c r="G466" s="3">
        <v>0</v>
      </c>
      <c r="H466" s="3">
        <v>1</v>
      </c>
      <c r="I466" s="3">
        <v>0</v>
      </c>
      <c r="K466" s="3">
        <v>0</v>
      </c>
      <c r="L466" s="3">
        <v>0</v>
      </c>
      <c r="M466" s="3">
        <v>1</v>
      </c>
    </row>
    <row r="467" spans="1:14">
      <c r="A467" t="s">
        <v>19</v>
      </c>
      <c r="C467" s="3">
        <f>C463*C466*C465-C465</f>
        <v>-1</v>
      </c>
      <c r="D467" s="3">
        <f>D463*D466*D465-D465</f>
        <v>0</v>
      </c>
      <c r="E467" s="3">
        <f>E463*E466*E465-E465</f>
        <v>0</v>
      </c>
      <c r="G467" s="3">
        <f>G463*G466*G465-G465</f>
        <v>-1</v>
      </c>
      <c r="H467" s="3">
        <f>H463*H466*H465-H465</f>
        <v>0</v>
      </c>
      <c r="I467" s="3">
        <f>I463*I466*I465-I465</f>
        <v>0</v>
      </c>
      <c r="K467" s="3">
        <f>K463*K466*K465-K465</f>
        <v>0</v>
      </c>
      <c r="L467" s="3">
        <f>L463*L466*L465-L465</f>
        <v>0</v>
      </c>
      <c r="M467" s="3">
        <f>M463*M466*M465-M465</f>
        <v>4.29</v>
      </c>
    </row>
    <row r="469" spans="1:14">
      <c r="A469" s="1" t="s">
        <v>33</v>
      </c>
      <c r="C469" s="1" t="s">
        <v>1</v>
      </c>
      <c r="E469" s="1">
        <f>0+C476+D476+E476 + E460</f>
        <v>2.8800000000000008</v>
      </c>
      <c r="G469" s="1" t="s">
        <v>2</v>
      </c>
      <c r="I469" s="1">
        <f>0+G476+H476+I476 + I460</f>
        <v>-4.7200000000000024</v>
      </c>
      <c r="K469" s="1" t="s">
        <v>3</v>
      </c>
      <c r="M469" s="1">
        <f>0+K476+L476+M476 + M460</f>
        <v>10.689999999999998</v>
      </c>
    </row>
    <row r="470" spans="1:14">
      <c r="A470" t="s">
        <v>75</v>
      </c>
      <c r="C470" s="2" t="s">
        <v>5</v>
      </c>
      <c r="D470" s="2" t="s">
        <v>6</v>
      </c>
      <c r="E470" s="2" t="s">
        <v>7</v>
      </c>
      <c r="G470" s="2" t="s">
        <v>8</v>
      </c>
      <c r="H470" s="2" t="s">
        <v>9</v>
      </c>
      <c r="I470" s="2" t="s">
        <v>10</v>
      </c>
      <c r="K470" s="2" t="s">
        <v>11</v>
      </c>
      <c r="L470" s="2" t="s">
        <v>12</v>
      </c>
      <c r="M470" s="2" t="s">
        <v>13</v>
      </c>
    </row>
    <row r="471" spans="1:14">
      <c r="A471" t="s">
        <v>14</v>
      </c>
      <c r="C471" s="3">
        <v>1.2390000000000001</v>
      </c>
      <c r="D471" s="3">
        <v>9.31</v>
      </c>
      <c r="E471" s="3">
        <v>11.673999999999999</v>
      </c>
      <c r="G471" s="3">
        <v>2.956</v>
      </c>
      <c r="H471" s="3">
        <v>2.2320000000000002</v>
      </c>
      <c r="I471" s="3">
        <v>4.6760000000000002</v>
      </c>
      <c r="K471" s="3">
        <v>1.5029999999999999</v>
      </c>
      <c r="L471" s="3">
        <v>3.9369999999999998</v>
      </c>
      <c r="M471" s="3">
        <v>12.394</v>
      </c>
    </row>
    <row r="472" spans="1:14">
      <c r="A472" t="s">
        <v>15</v>
      </c>
      <c r="C472" s="3">
        <v>1.25</v>
      </c>
      <c r="D472" s="3">
        <v>7</v>
      </c>
      <c r="E472" s="3">
        <v>11.8</v>
      </c>
      <c r="G472" s="3">
        <v>1.6</v>
      </c>
      <c r="H472" s="3">
        <v>3.19</v>
      </c>
      <c r="I472" s="3">
        <v>9.34</v>
      </c>
      <c r="K472" s="3">
        <v>1.54</v>
      </c>
      <c r="L472" s="3">
        <v>3.61</v>
      </c>
      <c r="M472" s="3">
        <v>8.49</v>
      </c>
    </row>
    <row r="473" spans="1:14">
      <c r="A473" t="s">
        <v>16</v>
      </c>
      <c r="C473" s="3">
        <f>C472/C471</f>
        <v>1.0088781275221952</v>
      </c>
      <c r="D473" s="3">
        <f>D472/D471</f>
        <v>0.75187969924812026</v>
      </c>
      <c r="E473" s="3">
        <f>E472/E471</f>
        <v>1.0107932156929931</v>
      </c>
      <c r="G473" s="3">
        <f>G472/G471</f>
        <v>0.54127198917456021</v>
      </c>
      <c r="H473" s="3">
        <f>H472/H471</f>
        <v>1.4292114695340501</v>
      </c>
      <c r="I473" s="3">
        <f>I472/I471</f>
        <v>1.9974337040205303</v>
      </c>
      <c r="K473" s="3">
        <f>K472/K471</f>
        <v>1.0246174318030608</v>
      </c>
      <c r="L473" s="3">
        <f>L472/L471</f>
        <v>0.91694183388366779</v>
      </c>
      <c r="M473" s="3">
        <f>M472/M471</f>
        <v>0.68500887526222365</v>
      </c>
    </row>
    <row r="474" spans="1:14">
      <c r="A474" t="s">
        <v>17</v>
      </c>
      <c r="C474" s="3">
        <v>0</v>
      </c>
      <c r="D474" s="3">
        <v>0</v>
      </c>
      <c r="E474" s="3">
        <v>1</v>
      </c>
      <c r="G474" s="3">
        <v>0</v>
      </c>
      <c r="H474" s="3">
        <v>0</v>
      </c>
      <c r="I474" s="3">
        <v>1</v>
      </c>
      <c r="K474" s="3">
        <v>1</v>
      </c>
      <c r="L474" s="3">
        <v>0</v>
      </c>
      <c r="M474" s="3">
        <v>0</v>
      </c>
    </row>
    <row r="475" spans="1:14">
      <c r="A475" t="s">
        <v>18</v>
      </c>
      <c r="C475" s="3">
        <v>1</v>
      </c>
      <c r="D475" s="3">
        <v>0</v>
      </c>
      <c r="E475" s="3">
        <v>0</v>
      </c>
      <c r="G475" s="3">
        <v>1</v>
      </c>
      <c r="H475" s="3">
        <v>0</v>
      </c>
      <c r="I475" s="3">
        <v>0</v>
      </c>
      <c r="K475" s="3">
        <v>1</v>
      </c>
      <c r="L475" s="3">
        <v>0</v>
      </c>
      <c r="M475" s="3">
        <v>0</v>
      </c>
    </row>
    <row r="476" spans="1:14">
      <c r="A476" t="s">
        <v>19</v>
      </c>
      <c r="C476" s="3">
        <f>C472*C475*C474-C474</f>
        <v>0</v>
      </c>
      <c r="D476" s="3">
        <f>D472*D475*D474-D474</f>
        <v>0</v>
      </c>
      <c r="E476" s="3">
        <f>E472*E475*E474-E474</f>
        <v>-1</v>
      </c>
      <c r="G476" s="3">
        <f>G472*G475*G474-G474</f>
        <v>0</v>
      </c>
      <c r="H476" s="3">
        <f>H472*H475*H474-H474</f>
        <v>0</v>
      </c>
      <c r="I476" s="3">
        <f>I472*I475*I474-I474</f>
        <v>-1</v>
      </c>
      <c r="K476" s="3">
        <f>K472*K475*K474-K474</f>
        <v>0.54</v>
      </c>
      <c r="L476" s="3">
        <f>L472*L475*L474-L474</f>
        <v>0</v>
      </c>
      <c r="M476" s="3">
        <f>M472*M475*M474-M474</f>
        <v>0</v>
      </c>
    </row>
    <row r="478" spans="1:14" s="7" customFormat="1">
      <c r="A478" s="6" t="s">
        <v>33</v>
      </c>
      <c r="C478" s="6" t="s">
        <v>1</v>
      </c>
      <c r="E478" s="6">
        <f>0+C485+D485+E485 + E469</f>
        <v>1.8800000000000008</v>
      </c>
      <c r="G478" s="6" t="s">
        <v>2</v>
      </c>
      <c r="I478" s="6">
        <f>0+G485+H485+I485 + I469</f>
        <v>-5.7200000000000024</v>
      </c>
      <c r="K478" s="6" t="s">
        <v>3</v>
      </c>
      <c r="M478" s="6">
        <f>0+K485+L485+M485 + M469</f>
        <v>9.6899999999999977</v>
      </c>
      <c r="N478" s="7">
        <f>E478+I478+M478-N415-N352</f>
        <v>-7.8100000000000014</v>
      </c>
    </row>
    <row r="479" spans="1:14">
      <c r="A479" t="s">
        <v>76</v>
      </c>
      <c r="C479" s="2" t="s">
        <v>5</v>
      </c>
      <c r="D479" s="2" t="s">
        <v>6</v>
      </c>
      <c r="E479" s="2" t="s">
        <v>7</v>
      </c>
      <c r="G479" s="2" t="s">
        <v>8</v>
      </c>
      <c r="H479" s="2" t="s">
        <v>9</v>
      </c>
      <c r="I479" s="2" t="s">
        <v>10</v>
      </c>
      <c r="K479" s="2" t="s">
        <v>11</v>
      </c>
      <c r="L479" s="2" t="s">
        <v>12</v>
      </c>
      <c r="M479" s="2" t="s">
        <v>13</v>
      </c>
    </row>
    <row r="480" spans="1:14">
      <c r="A480" t="s">
        <v>14</v>
      </c>
      <c r="C480" s="3">
        <v>2.0430000000000001</v>
      </c>
      <c r="D480" s="3">
        <v>2.972</v>
      </c>
      <c r="E480" s="3">
        <v>5.7389999999999999</v>
      </c>
      <c r="G480" s="3">
        <v>4.2830000000000004</v>
      </c>
      <c r="H480" s="3">
        <v>1.681</v>
      </c>
      <c r="I480" s="3">
        <v>5.8120000000000003</v>
      </c>
      <c r="K480" s="3">
        <v>2.7170000000000001</v>
      </c>
      <c r="L480" s="3">
        <v>2.4119999999999999</v>
      </c>
      <c r="M480" s="3">
        <v>4.5960000000000001</v>
      </c>
    </row>
    <row r="481" spans="1:13">
      <c r="A481" t="s">
        <v>15</v>
      </c>
      <c r="C481" s="3">
        <v>2.35</v>
      </c>
      <c r="D481" s="3">
        <v>3.15</v>
      </c>
      <c r="E481" s="3">
        <v>3.55</v>
      </c>
      <c r="G481" s="3">
        <v>3.07</v>
      </c>
      <c r="H481" s="3">
        <v>2.16</v>
      </c>
      <c r="I481" s="3">
        <v>4.09</v>
      </c>
      <c r="K481" s="3">
        <v>2.77</v>
      </c>
      <c r="L481" s="3">
        <v>2.4500000000000002</v>
      </c>
      <c r="M481" s="3">
        <v>3.62</v>
      </c>
    </row>
    <row r="482" spans="1:13">
      <c r="A482" t="s">
        <v>16</v>
      </c>
      <c r="C482" s="3">
        <f>C481/C480</f>
        <v>1.1502692119432207</v>
      </c>
      <c r="D482" s="3">
        <f>D481/D480</f>
        <v>1.059892328398385</v>
      </c>
      <c r="E482" s="3">
        <f>E481/E480</f>
        <v>0.61857466457571009</v>
      </c>
      <c r="G482" s="3">
        <f>G481/G480</f>
        <v>0.71678729862246082</v>
      </c>
      <c r="H482" s="3">
        <f>H481/H480</f>
        <v>1.2849494348602024</v>
      </c>
      <c r="I482" s="3">
        <f>I481/I480</f>
        <v>0.70371644872677219</v>
      </c>
      <c r="K482" s="3">
        <f>K481/K480</f>
        <v>1.0195068089804931</v>
      </c>
      <c r="L482" s="3">
        <f>L481/L480</f>
        <v>1.0157545605306801</v>
      </c>
      <c r="M482" s="3">
        <f>M481/M480</f>
        <v>0.78764142732811138</v>
      </c>
    </row>
    <row r="483" spans="1:13">
      <c r="A483" t="s">
        <v>17</v>
      </c>
      <c r="C483" s="3">
        <v>1</v>
      </c>
      <c r="D483" s="3">
        <v>0</v>
      </c>
      <c r="E483" s="3">
        <v>0</v>
      </c>
      <c r="G483" s="3">
        <v>0</v>
      </c>
      <c r="H483" s="3">
        <v>1</v>
      </c>
      <c r="I483" s="3">
        <v>0</v>
      </c>
      <c r="K483" s="3">
        <v>1</v>
      </c>
      <c r="L483" s="3">
        <v>0</v>
      </c>
      <c r="M483" s="3">
        <v>0</v>
      </c>
    </row>
    <row r="484" spans="1:13">
      <c r="A484" t="s">
        <v>18</v>
      </c>
      <c r="C484" s="3">
        <v>0</v>
      </c>
      <c r="D484" s="3">
        <v>1</v>
      </c>
      <c r="E484" s="3">
        <v>0</v>
      </c>
      <c r="G484" s="3">
        <v>1</v>
      </c>
      <c r="H484" s="3">
        <v>0</v>
      </c>
      <c r="I484" s="3">
        <v>0</v>
      </c>
      <c r="K484" s="3">
        <v>0</v>
      </c>
      <c r="L484" s="3">
        <v>0</v>
      </c>
      <c r="M484" s="3">
        <v>1</v>
      </c>
    </row>
    <row r="485" spans="1:13">
      <c r="A485" t="s">
        <v>19</v>
      </c>
      <c r="C485" s="3">
        <f>C481*C484*C483-C483</f>
        <v>-1</v>
      </c>
      <c r="D485" s="3">
        <f>D481*D484*D483-D483</f>
        <v>0</v>
      </c>
      <c r="E485" s="3">
        <f>E481*E484*E483-E483</f>
        <v>0</v>
      </c>
      <c r="G485" s="3">
        <f>G481*G484*G483-G483</f>
        <v>0</v>
      </c>
      <c r="H485" s="3">
        <f>H481*H484*H483-H483</f>
        <v>-1</v>
      </c>
      <c r="I485" s="3">
        <f>I481*I484*I483-I483</f>
        <v>0</v>
      </c>
      <c r="K485" s="3">
        <f>K481*K484*K483-K483</f>
        <v>-1</v>
      </c>
      <c r="L485" s="3">
        <f>L481*L484*L483-L483</f>
        <v>0</v>
      </c>
      <c r="M485" s="3">
        <f>M481*M484*M483-M483</f>
        <v>0</v>
      </c>
    </row>
    <row r="487" spans="1:13">
      <c r="A487" s="1" t="s">
        <v>0</v>
      </c>
      <c r="C487" s="1" t="s">
        <v>1</v>
      </c>
      <c r="E487" s="1">
        <f>0+C494+D494+E494 + E478</f>
        <v>0.88000000000000078</v>
      </c>
      <c r="G487" s="1" t="s">
        <v>2</v>
      </c>
      <c r="I487" s="1">
        <f>0+G494+H494+I494 + I478</f>
        <v>-6.7200000000000024</v>
      </c>
      <c r="K487" s="1" t="s">
        <v>3</v>
      </c>
      <c r="M487" s="1">
        <f>0+K494+L494+M494 + M478</f>
        <v>8.6899999999999977</v>
      </c>
    </row>
    <row r="488" spans="1:13">
      <c r="A488" t="s">
        <v>77</v>
      </c>
      <c r="C488" s="2" t="s">
        <v>5</v>
      </c>
      <c r="D488" s="2" t="s">
        <v>6</v>
      </c>
      <c r="E488" s="2" t="s">
        <v>7</v>
      </c>
      <c r="G488" s="2" t="s">
        <v>8</v>
      </c>
      <c r="H488" s="2" t="s">
        <v>9</v>
      </c>
      <c r="I488" s="2" t="s">
        <v>10</v>
      </c>
      <c r="K488" s="2" t="s">
        <v>11</v>
      </c>
      <c r="L488" s="2" t="s">
        <v>12</v>
      </c>
      <c r="M488" s="2" t="s">
        <v>13</v>
      </c>
    </row>
    <row r="489" spans="1:13">
      <c r="A489" t="s">
        <v>14</v>
      </c>
      <c r="C489" s="3">
        <v>2.0350000000000001</v>
      </c>
      <c r="D489" s="3">
        <v>3.5230000000000001</v>
      </c>
      <c r="E489" s="3">
        <v>4.4470000000000001</v>
      </c>
      <c r="G489" s="3">
        <v>4.2610000000000001</v>
      </c>
      <c r="H489" s="3">
        <v>1.9239999999999999</v>
      </c>
      <c r="I489" s="3">
        <v>4.0679999999999996</v>
      </c>
      <c r="K489" s="3">
        <v>2.2229999999999999</v>
      </c>
      <c r="L489" s="3">
        <v>2.4969999999999999</v>
      </c>
      <c r="M489" s="3">
        <v>6.6749999999999998</v>
      </c>
    </row>
    <row r="490" spans="1:13">
      <c r="A490" t="s">
        <v>15</v>
      </c>
      <c r="C490" s="3">
        <v>1.5</v>
      </c>
      <c r="D490" s="3">
        <v>4.3600000000000003</v>
      </c>
      <c r="E490" s="3">
        <v>7.27</v>
      </c>
      <c r="G490" s="3">
        <v>2.1</v>
      </c>
      <c r="H490" s="3">
        <v>2.31</v>
      </c>
      <c r="I490" s="3">
        <v>7.19</v>
      </c>
      <c r="K490" s="3">
        <v>1.86</v>
      </c>
      <c r="L490" s="3">
        <v>2.83</v>
      </c>
      <c r="M490" s="3">
        <v>6.46</v>
      </c>
    </row>
    <row r="491" spans="1:13">
      <c r="A491" t="s">
        <v>16</v>
      </c>
      <c r="C491" s="3">
        <f>C490/C489</f>
        <v>0.73710073710073709</v>
      </c>
      <c r="D491" s="3">
        <f>D490/D489</f>
        <v>1.2375816065852967</v>
      </c>
      <c r="E491" s="3">
        <f>E490/E489</f>
        <v>1.6348099842590509</v>
      </c>
      <c r="G491" s="3">
        <f>G490/G489</f>
        <v>0.492842055855433</v>
      </c>
      <c r="H491" s="3">
        <f>H490/H489</f>
        <v>1.2006237006237006</v>
      </c>
      <c r="I491" s="3">
        <f>I490/I489</f>
        <v>1.7674532940019669</v>
      </c>
      <c r="K491" s="3">
        <f>K490/K489</f>
        <v>0.83670715249662631</v>
      </c>
      <c r="L491" s="3">
        <f>L490/L489</f>
        <v>1.1333600320384463</v>
      </c>
      <c r="M491" s="3">
        <f>M490/M489</f>
        <v>0.9677902621722847</v>
      </c>
    </row>
    <row r="492" spans="1:13">
      <c r="A492" t="s">
        <v>17</v>
      </c>
      <c r="C492" s="3">
        <v>0</v>
      </c>
      <c r="D492" s="3">
        <v>0</v>
      </c>
      <c r="E492" s="3">
        <v>1</v>
      </c>
      <c r="G492" s="3">
        <v>0</v>
      </c>
      <c r="H492" s="3">
        <v>0</v>
      </c>
      <c r="I492" s="3">
        <v>1</v>
      </c>
      <c r="K492" s="3">
        <v>0</v>
      </c>
      <c r="L492" s="3">
        <v>0</v>
      </c>
      <c r="M492" s="3">
        <v>1</v>
      </c>
    </row>
    <row r="493" spans="1:13">
      <c r="A493" t="s">
        <v>18</v>
      </c>
      <c r="C493" s="3">
        <v>1</v>
      </c>
      <c r="D493" s="3">
        <v>0</v>
      </c>
      <c r="E493" s="3">
        <v>0</v>
      </c>
      <c r="G493" s="3">
        <v>0</v>
      </c>
      <c r="H493" s="3">
        <v>1</v>
      </c>
      <c r="I493" s="3">
        <v>0</v>
      </c>
      <c r="K493" s="3">
        <v>1</v>
      </c>
      <c r="L493" s="3">
        <v>0</v>
      </c>
      <c r="M493" s="3">
        <v>0</v>
      </c>
    </row>
    <row r="494" spans="1:13">
      <c r="A494" t="s">
        <v>19</v>
      </c>
      <c r="C494" s="3">
        <f>C490*C493*C492-C492</f>
        <v>0</v>
      </c>
      <c r="D494" s="3">
        <f>D490*D493*D492-D492</f>
        <v>0</v>
      </c>
      <c r="E494" s="3">
        <f>E490*E493*E492-E492</f>
        <v>-1</v>
      </c>
      <c r="G494" s="3">
        <f>G490*G493*G492-G492</f>
        <v>0</v>
      </c>
      <c r="H494" s="3">
        <f>H490*H493*H492-H492</f>
        <v>0</v>
      </c>
      <c r="I494" s="3">
        <f>I490*I493*I492-I492</f>
        <v>-1</v>
      </c>
      <c r="K494" s="3">
        <f>K490*K493*K492-K492</f>
        <v>0</v>
      </c>
      <c r="L494" s="3">
        <f>L490*L493*L492-L492</f>
        <v>0</v>
      </c>
      <c r="M494" s="3">
        <f>M490*M493*M492-M492</f>
        <v>-1</v>
      </c>
    </row>
    <row r="496" spans="1:13">
      <c r="A496" s="1" t="s">
        <v>0</v>
      </c>
      <c r="C496" s="1" t="s">
        <v>1</v>
      </c>
      <c r="E496" s="1">
        <f>0+C503+D503+E503 + E487</f>
        <v>-0.11999999999999922</v>
      </c>
      <c r="G496" s="1" t="s">
        <v>2</v>
      </c>
      <c r="I496" s="1">
        <f>0+G503+H503+I503 + I487</f>
        <v>-7.7200000000000024</v>
      </c>
      <c r="K496" s="1" t="s">
        <v>3</v>
      </c>
      <c r="M496" s="1">
        <f>0+K503+L503+M503 + M487</f>
        <v>7.6899999999999977</v>
      </c>
    </row>
    <row r="497" spans="1:13">
      <c r="A497" t="s">
        <v>78</v>
      </c>
      <c r="C497" s="2" t="s">
        <v>5</v>
      </c>
      <c r="D497" s="2" t="s">
        <v>6</v>
      </c>
      <c r="E497" s="2" t="s">
        <v>7</v>
      </c>
      <c r="G497" s="2" t="s">
        <v>8</v>
      </c>
      <c r="H497" s="2" t="s">
        <v>9</v>
      </c>
      <c r="I497" s="2" t="s">
        <v>10</v>
      </c>
      <c r="K497" s="2" t="s">
        <v>11</v>
      </c>
      <c r="L497" s="2" t="s">
        <v>12</v>
      </c>
      <c r="M497" s="2" t="s">
        <v>13</v>
      </c>
    </row>
    <row r="498" spans="1:13">
      <c r="A498" t="s">
        <v>14</v>
      </c>
      <c r="C498" s="3">
        <v>2.4390000000000001</v>
      </c>
      <c r="D498" s="3">
        <v>1.9750000000000001</v>
      </c>
      <c r="E498" s="3">
        <v>11.943</v>
      </c>
      <c r="G498" s="3">
        <v>5.101</v>
      </c>
      <c r="H498" s="3">
        <v>1.9330000000000001</v>
      </c>
      <c r="I498" s="3">
        <v>3.4860000000000002</v>
      </c>
      <c r="K498" s="3">
        <v>3.3090000000000002</v>
      </c>
      <c r="L498" s="3">
        <v>1.9750000000000001</v>
      </c>
      <c r="M498" s="3">
        <v>16.457999999999998</v>
      </c>
    </row>
    <row r="499" spans="1:13">
      <c r="A499" t="s">
        <v>15</v>
      </c>
      <c r="C499" s="3">
        <v>1.58</v>
      </c>
      <c r="D499" s="3">
        <v>3.91</v>
      </c>
      <c r="E499" s="3">
        <v>6.94</v>
      </c>
      <c r="G499" s="3">
        <v>2.0499999999999998</v>
      </c>
      <c r="H499" s="3">
        <v>2.15</v>
      </c>
      <c r="I499" s="3">
        <v>6</v>
      </c>
      <c r="K499" s="3">
        <v>2.02</v>
      </c>
      <c r="L499" s="3">
        <v>2.64</v>
      </c>
      <c r="M499" s="3">
        <v>5.81</v>
      </c>
    </row>
    <row r="500" spans="1:13">
      <c r="A500" t="s">
        <v>16</v>
      </c>
      <c r="C500" s="3">
        <f>C499/C498</f>
        <v>0.64780647806478064</v>
      </c>
      <c r="D500" s="3">
        <f>D499/D498</f>
        <v>1.9797468354430379</v>
      </c>
      <c r="E500" s="3">
        <f>E499/E498</f>
        <v>0.58109352758938293</v>
      </c>
      <c r="G500" s="3">
        <f>G499/G498</f>
        <v>0.40188198392472063</v>
      </c>
      <c r="H500" s="3">
        <f>H499/H498</f>
        <v>1.1122607346094153</v>
      </c>
      <c r="I500" s="3">
        <f>I499/I498</f>
        <v>1.7211703958691909</v>
      </c>
      <c r="K500" s="3">
        <f>K499/K498</f>
        <v>0.61045633121789056</v>
      </c>
      <c r="L500" s="3">
        <f>L499/L498</f>
        <v>1.3367088607594937</v>
      </c>
      <c r="M500" s="3">
        <f>M499/M498</f>
        <v>0.35301980799611132</v>
      </c>
    </row>
    <row r="501" spans="1:13">
      <c r="A501" t="s">
        <v>17</v>
      </c>
      <c r="C501" s="3">
        <v>0</v>
      </c>
      <c r="D501" s="3">
        <v>1</v>
      </c>
      <c r="E501" s="3">
        <v>0</v>
      </c>
      <c r="G501" s="3">
        <v>0</v>
      </c>
      <c r="H501" s="3">
        <v>0</v>
      </c>
      <c r="I501" s="3">
        <v>1</v>
      </c>
      <c r="K501" s="3">
        <v>0</v>
      </c>
      <c r="L501" s="3">
        <v>1</v>
      </c>
      <c r="M501" s="3">
        <v>0</v>
      </c>
    </row>
    <row r="502" spans="1:13">
      <c r="A502" t="s">
        <v>18</v>
      </c>
      <c r="C502" s="3">
        <v>1</v>
      </c>
      <c r="D502" s="3">
        <v>0</v>
      </c>
      <c r="E502" s="3">
        <v>0</v>
      </c>
      <c r="G502" s="3">
        <v>1</v>
      </c>
      <c r="H502" s="3">
        <v>0</v>
      </c>
      <c r="I502" s="3">
        <v>0</v>
      </c>
      <c r="K502" s="3">
        <v>1</v>
      </c>
      <c r="L502" s="3">
        <v>0</v>
      </c>
      <c r="M502" s="3">
        <v>0</v>
      </c>
    </row>
    <row r="503" spans="1:13">
      <c r="A503" t="s">
        <v>19</v>
      </c>
      <c r="C503" s="3">
        <f>C499*C502*C501-C501</f>
        <v>0</v>
      </c>
      <c r="D503" s="3">
        <f>D499*D502*D501-D501</f>
        <v>-1</v>
      </c>
      <c r="E503" s="3">
        <f>E499*E502*E501-E501</f>
        <v>0</v>
      </c>
      <c r="G503" s="3">
        <f>G499*G502*G501-G501</f>
        <v>0</v>
      </c>
      <c r="H503" s="3">
        <f>H499*H502*H501-H501</f>
        <v>0</v>
      </c>
      <c r="I503" s="3">
        <f>I499*I502*I501-I501</f>
        <v>-1</v>
      </c>
      <c r="K503" s="3">
        <f>K499*K502*K501-K501</f>
        <v>0</v>
      </c>
      <c r="L503" s="3">
        <f>L499*L502*L501-L501</f>
        <v>-1</v>
      </c>
      <c r="M503" s="3">
        <f>M499*M502*M501-M501</f>
        <v>0</v>
      </c>
    </row>
    <row r="505" spans="1:13">
      <c r="A505" s="1" t="s">
        <v>0</v>
      </c>
      <c r="C505" s="1" t="s">
        <v>1</v>
      </c>
      <c r="E505" s="1">
        <f>0+C512+D512+E512 + E496</f>
        <v>-1.1199999999999992</v>
      </c>
      <c r="G505" s="1" t="s">
        <v>2</v>
      </c>
      <c r="I505" s="1">
        <f>0+G512+H512+I512 + I496</f>
        <v>-8.7200000000000024</v>
      </c>
      <c r="K505" s="1" t="s">
        <v>3</v>
      </c>
      <c r="M505" s="1">
        <f>0+K512+L512+M512 + M496</f>
        <v>6.6899999999999977</v>
      </c>
    </row>
    <row r="506" spans="1:13">
      <c r="A506" t="s">
        <v>79</v>
      </c>
      <c r="C506" s="2" t="s">
        <v>5</v>
      </c>
      <c r="D506" s="2" t="s">
        <v>6</v>
      </c>
      <c r="E506" s="2" t="s">
        <v>7</v>
      </c>
      <c r="G506" s="2" t="s">
        <v>8</v>
      </c>
      <c r="H506" s="2" t="s">
        <v>9</v>
      </c>
      <c r="I506" s="2" t="s">
        <v>10</v>
      </c>
      <c r="K506" s="2" t="s">
        <v>11</v>
      </c>
      <c r="L506" s="2" t="s">
        <v>12</v>
      </c>
      <c r="M506" s="2" t="s">
        <v>13</v>
      </c>
    </row>
    <row r="507" spans="1:13">
      <c r="A507" t="s">
        <v>14</v>
      </c>
      <c r="C507" s="3">
        <v>3.194</v>
      </c>
      <c r="D507" s="3">
        <v>2.64</v>
      </c>
      <c r="E507" s="3">
        <v>3.2440000000000002</v>
      </c>
      <c r="G507" s="3">
        <v>6.2610000000000001</v>
      </c>
      <c r="H507" s="3">
        <v>2.5339999999999998</v>
      </c>
      <c r="I507" s="3">
        <v>2.2429999999999999</v>
      </c>
      <c r="K507" s="3">
        <v>2.5219999999999998</v>
      </c>
      <c r="L507" s="3">
        <v>2.1789999999999998</v>
      </c>
      <c r="M507" s="3">
        <v>6.9089999999999998</v>
      </c>
    </row>
    <row r="508" spans="1:13">
      <c r="A508" t="s">
        <v>15</v>
      </c>
      <c r="C508" s="3">
        <v>2.71</v>
      </c>
      <c r="D508" s="3">
        <v>3.3</v>
      </c>
      <c r="E508" s="3">
        <v>2.8</v>
      </c>
      <c r="G508" s="3">
        <v>3.48</v>
      </c>
      <c r="H508" s="3">
        <v>2.0499999999999998</v>
      </c>
      <c r="I508" s="3">
        <v>3.68</v>
      </c>
      <c r="K508" s="3">
        <v>3.03</v>
      </c>
      <c r="L508" s="3">
        <v>2.4300000000000002</v>
      </c>
      <c r="M508" s="3">
        <v>3.27</v>
      </c>
    </row>
    <row r="509" spans="1:13">
      <c r="A509" t="s">
        <v>16</v>
      </c>
      <c r="C509" s="3">
        <f>C508/C507</f>
        <v>0.84846587351283653</v>
      </c>
      <c r="D509" s="3">
        <f>D508/D507</f>
        <v>1.2499999999999998</v>
      </c>
      <c r="E509" s="3">
        <f>E508/E507</f>
        <v>0.86313193588162751</v>
      </c>
      <c r="G509" s="3">
        <f>G508/G507</f>
        <v>0.55582175371346432</v>
      </c>
      <c r="H509" s="3">
        <f>H508/H507</f>
        <v>0.80899763220205212</v>
      </c>
      <c r="I509" s="3">
        <f>I508/I507</f>
        <v>1.6406598305840394</v>
      </c>
      <c r="K509" s="3">
        <f>K508/K507</f>
        <v>1.2014274385408406</v>
      </c>
      <c r="L509" s="3">
        <f>L508/L507</f>
        <v>1.1151904543368518</v>
      </c>
      <c r="M509" s="3">
        <f>M508/M507</f>
        <v>0.4732957012592271</v>
      </c>
    </row>
    <row r="510" spans="1:13">
      <c r="A510" t="s">
        <v>17</v>
      </c>
      <c r="C510" s="3">
        <v>0</v>
      </c>
      <c r="D510" s="3">
        <v>1</v>
      </c>
      <c r="E510" s="3">
        <v>0</v>
      </c>
      <c r="G510" s="3">
        <v>0</v>
      </c>
      <c r="H510" s="3">
        <v>0</v>
      </c>
      <c r="I510" s="3">
        <v>1</v>
      </c>
      <c r="K510" s="3">
        <v>1</v>
      </c>
      <c r="L510" s="3">
        <v>0</v>
      </c>
      <c r="M510" s="3">
        <v>0</v>
      </c>
    </row>
    <row r="511" spans="1:13">
      <c r="A511" t="s">
        <v>18</v>
      </c>
      <c r="C511" s="3">
        <v>0</v>
      </c>
      <c r="D511" s="3">
        <v>0</v>
      </c>
      <c r="E511" s="3">
        <v>1</v>
      </c>
      <c r="G511" s="3">
        <v>1</v>
      </c>
      <c r="H511" s="3">
        <v>0</v>
      </c>
      <c r="I511" s="3">
        <v>0</v>
      </c>
      <c r="K511" s="3">
        <v>0</v>
      </c>
      <c r="L511" s="3">
        <v>0</v>
      </c>
      <c r="M511" s="3">
        <v>1</v>
      </c>
    </row>
    <row r="512" spans="1:13">
      <c r="A512" t="s">
        <v>19</v>
      </c>
      <c r="C512" s="3">
        <f>C508*C511*C510-C510</f>
        <v>0</v>
      </c>
      <c r="D512" s="3">
        <f>D508*D511*D510-D510</f>
        <v>-1</v>
      </c>
      <c r="E512" s="3">
        <f>E508*E511*E510-E510</f>
        <v>0</v>
      </c>
      <c r="G512" s="3">
        <f>G508*G511*G510-G510</f>
        <v>0</v>
      </c>
      <c r="H512" s="3">
        <f>H508*H511*H510-H510</f>
        <v>0</v>
      </c>
      <c r="I512" s="3">
        <f>I508*I511*I510-I510</f>
        <v>-1</v>
      </c>
      <c r="K512" s="3">
        <f>K508*K511*K510-K510</f>
        <v>-1</v>
      </c>
      <c r="L512" s="3">
        <f>L508*L511*L510-L510</f>
        <v>0</v>
      </c>
      <c r="M512" s="3">
        <f>M508*M511*M510-M510</f>
        <v>0</v>
      </c>
    </row>
    <row r="514" spans="1:13">
      <c r="A514" s="1" t="s">
        <v>0</v>
      </c>
      <c r="C514" s="1" t="s">
        <v>1</v>
      </c>
      <c r="E514" s="1">
        <f>0+C521+D521+E521 + E505</f>
        <v>-2.1199999999999992</v>
      </c>
      <c r="G514" s="1" t="s">
        <v>2</v>
      </c>
      <c r="I514" s="1">
        <f>0+G521+H521+I521 + I505</f>
        <v>-9.7200000000000024</v>
      </c>
      <c r="K514" s="1" t="s">
        <v>3</v>
      </c>
      <c r="M514" s="1">
        <f>0+K521+L521+M521 + M505</f>
        <v>8.2199999999999971</v>
      </c>
    </row>
    <row r="515" spans="1:13">
      <c r="A515" t="s">
        <v>80</v>
      </c>
      <c r="C515" s="2" t="s">
        <v>5</v>
      </c>
      <c r="D515" s="2" t="s">
        <v>6</v>
      </c>
      <c r="E515" s="2" t="s">
        <v>7</v>
      </c>
      <c r="G515" s="2" t="s">
        <v>8</v>
      </c>
      <c r="H515" s="2" t="s">
        <v>9</v>
      </c>
      <c r="I515" s="2" t="s">
        <v>10</v>
      </c>
      <c r="K515" s="2" t="s">
        <v>11</v>
      </c>
      <c r="L515" s="2" t="s">
        <v>12</v>
      </c>
      <c r="M515" s="2" t="s">
        <v>13</v>
      </c>
    </row>
    <row r="516" spans="1:13">
      <c r="A516" t="s">
        <v>14</v>
      </c>
      <c r="C516" s="3">
        <v>3.5609999999999999</v>
      </c>
      <c r="D516" s="3">
        <v>2.0009999999999999</v>
      </c>
      <c r="E516" s="3">
        <v>4.5540000000000003</v>
      </c>
      <c r="G516" s="3">
        <v>3.5590000000000002</v>
      </c>
      <c r="H516" s="3">
        <v>1.702</v>
      </c>
      <c r="I516" s="3">
        <v>7.6</v>
      </c>
      <c r="K516" s="3">
        <v>4.8810000000000002</v>
      </c>
      <c r="L516" s="3">
        <v>1.6879999999999999</v>
      </c>
      <c r="M516" s="3">
        <v>4.9260000000000002</v>
      </c>
    </row>
    <row r="517" spans="1:13">
      <c r="A517" t="s">
        <v>15</v>
      </c>
      <c r="C517" s="3">
        <v>2.37</v>
      </c>
      <c r="D517" s="3">
        <v>3.26</v>
      </c>
      <c r="E517" s="3">
        <v>3.32</v>
      </c>
      <c r="G517" s="3">
        <v>3.03</v>
      </c>
      <c r="H517" s="3">
        <v>2.0699999999999998</v>
      </c>
      <c r="I517" s="3">
        <v>4.29</v>
      </c>
      <c r="K517" s="3">
        <v>2.66</v>
      </c>
      <c r="L517" s="3">
        <v>2.5299999999999998</v>
      </c>
      <c r="M517" s="3">
        <v>3.62</v>
      </c>
    </row>
    <row r="518" spans="1:13">
      <c r="A518" t="s">
        <v>16</v>
      </c>
      <c r="C518" s="3">
        <f>C517/C516</f>
        <v>0.66554338668913227</v>
      </c>
      <c r="D518" s="3">
        <f>D517/D516</f>
        <v>1.6291854072963519</v>
      </c>
      <c r="E518" s="3">
        <f>E517/E516</f>
        <v>0.72902942468159848</v>
      </c>
      <c r="G518" s="3">
        <f>G517/G516</f>
        <v>0.85136274234335474</v>
      </c>
      <c r="H518" s="3">
        <f>H517/H516</f>
        <v>1.2162162162162162</v>
      </c>
      <c r="I518" s="3">
        <f>I517/I516</f>
        <v>0.56447368421052635</v>
      </c>
      <c r="K518" s="3">
        <f>K517/K516</f>
        <v>0.54497029297275146</v>
      </c>
      <c r="L518" s="3">
        <f>L517/L516</f>
        <v>1.4988151658767772</v>
      </c>
      <c r="M518" s="3">
        <f>M517/M516</f>
        <v>0.73487616727568006</v>
      </c>
    </row>
    <row r="519" spans="1:13">
      <c r="A519" t="s">
        <v>17</v>
      </c>
      <c r="C519" s="3">
        <v>0</v>
      </c>
      <c r="D519" s="3">
        <v>1</v>
      </c>
      <c r="E519" s="3">
        <v>0</v>
      </c>
      <c r="G519" s="3">
        <v>0</v>
      </c>
      <c r="H519" s="3">
        <v>1</v>
      </c>
      <c r="I519" s="3">
        <v>0</v>
      </c>
      <c r="K519" s="3">
        <v>0</v>
      </c>
      <c r="L519" s="3">
        <v>1</v>
      </c>
      <c r="M519" s="3">
        <v>0</v>
      </c>
    </row>
    <row r="520" spans="1:13">
      <c r="A520" t="s">
        <v>18</v>
      </c>
      <c r="C520" s="3">
        <v>0</v>
      </c>
      <c r="D520" s="3">
        <v>0</v>
      </c>
      <c r="E520" s="3">
        <v>1</v>
      </c>
      <c r="G520" s="3">
        <v>0</v>
      </c>
      <c r="H520" s="3">
        <v>0</v>
      </c>
      <c r="I520" s="3">
        <v>1</v>
      </c>
      <c r="K520" s="3">
        <v>0</v>
      </c>
      <c r="L520" s="3">
        <v>1</v>
      </c>
      <c r="M520" s="3">
        <v>0</v>
      </c>
    </row>
    <row r="521" spans="1:13">
      <c r="A521" t="s">
        <v>19</v>
      </c>
      <c r="C521" s="3">
        <f>C517*C520*C519-C519</f>
        <v>0</v>
      </c>
      <c r="D521" s="3">
        <f>D517*D520*D519-D519</f>
        <v>-1</v>
      </c>
      <c r="E521" s="3">
        <f>E517*E520*E519-E519</f>
        <v>0</v>
      </c>
      <c r="G521" s="3">
        <f>G517*G520*G519-G519</f>
        <v>0</v>
      </c>
      <c r="H521" s="3">
        <f>H517*H520*H519-H519</f>
        <v>-1</v>
      </c>
      <c r="I521" s="3">
        <f>I517*I520*I519-I519</f>
        <v>0</v>
      </c>
      <c r="K521" s="3">
        <f>K517*K520*K519-K519</f>
        <v>0</v>
      </c>
      <c r="L521" s="3">
        <f>L517*L520*L519-L519</f>
        <v>1.5299999999999998</v>
      </c>
      <c r="M521" s="3">
        <f>M517*M520*M519-M519</f>
        <v>0</v>
      </c>
    </row>
    <row r="523" spans="1:13">
      <c r="A523" s="1" t="s">
        <v>0</v>
      </c>
      <c r="C523" s="1" t="s">
        <v>1</v>
      </c>
      <c r="E523" s="1">
        <f>0+C530+D530+E530 + E514</f>
        <v>0.37000000000000099</v>
      </c>
      <c r="G523" s="1" t="s">
        <v>2</v>
      </c>
      <c r="I523" s="1">
        <f>0+G530+H530+I530 + I514</f>
        <v>-10.720000000000002</v>
      </c>
      <c r="K523" s="1" t="s">
        <v>3</v>
      </c>
      <c r="M523" s="1">
        <f>0+K530+L530+M530 + M514</f>
        <v>7.2199999999999971</v>
      </c>
    </row>
    <row r="524" spans="1:13">
      <c r="A524" t="s">
        <v>81</v>
      </c>
      <c r="C524" s="2" t="s">
        <v>5</v>
      </c>
      <c r="D524" s="2" t="s">
        <v>6</v>
      </c>
      <c r="E524" s="2" t="s">
        <v>7</v>
      </c>
      <c r="G524" s="2" t="s">
        <v>8</v>
      </c>
      <c r="H524" s="2" t="s">
        <v>9</v>
      </c>
      <c r="I524" s="2" t="s">
        <v>10</v>
      </c>
      <c r="K524" s="2" t="s">
        <v>11</v>
      </c>
      <c r="L524" s="2" t="s">
        <v>12</v>
      </c>
      <c r="M524" s="2" t="s">
        <v>13</v>
      </c>
    </row>
    <row r="525" spans="1:13">
      <c r="A525" t="s">
        <v>14</v>
      </c>
      <c r="C525" s="3">
        <v>1.8049999999999999</v>
      </c>
      <c r="D525" s="3">
        <v>3.2519999999999998</v>
      </c>
      <c r="E525" s="3">
        <v>7.2039999999999997</v>
      </c>
      <c r="G525" s="3">
        <v>3.6589999999999998</v>
      </c>
      <c r="H525" s="3">
        <v>2.1280000000000001</v>
      </c>
      <c r="I525" s="3">
        <v>3.891</v>
      </c>
      <c r="K525" s="3">
        <v>2.2010000000000001</v>
      </c>
      <c r="L525" s="3">
        <v>2.59</v>
      </c>
      <c r="M525" s="3">
        <v>6.26</v>
      </c>
    </row>
    <row r="526" spans="1:13">
      <c r="A526" t="s">
        <v>15</v>
      </c>
      <c r="C526" s="3">
        <v>1.79</v>
      </c>
      <c r="D526" s="3">
        <v>3.49</v>
      </c>
      <c r="E526" s="3">
        <v>5.38</v>
      </c>
      <c r="G526" s="3">
        <v>2.4300000000000002</v>
      </c>
      <c r="H526" s="3">
        <v>2.16</v>
      </c>
      <c r="I526" s="3">
        <v>5.85</v>
      </c>
      <c r="K526" s="3">
        <v>2.19</v>
      </c>
      <c r="L526" s="3">
        <v>2.67</v>
      </c>
      <c r="M526" s="3">
        <v>4.63</v>
      </c>
    </row>
    <row r="527" spans="1:13">
      <c r="A527" t="s">
        <v>16</v>
      </c>
      <c r="C527" s="3">
        <f>C526/C525</f>
        <v>0.99168975069252085</v>
      </c>
      <c r="D527" s="3">
        <f>D526/D525</f>
        <v>1.0731857318573188</v>
      </c>
      <c r="E527" s="3">
        <f>E526/E525</f>
        <v>0.74680732926152138</v>
      </c>
      <c r="G527" s="3">
        <f>G526/G525</f>
        <v>0.66411587865537036</v>
      </c>
      <c r="H527" s="3">
        <f>H526/H525</f>
        <v>1.0150375939849625</v>
      </c>
      <c r="I527" s="3">
        <f>I526/I525</f>
        <v>1.5034695451040863</v>
      </c>
      <c r="K527" s="3">
        <f>K526/K525</f>
        <v>0.99500227169468414</v>
      </c>
      <c r="L527" s="3">
        <f>L526/L525</f>
        <v>1.0308880308880308</v>
      </c>
      <c r="M527" s="3">
        <f>M526/M525</f>
        <v>0.73961661341853036</v>
      </c>
    </row>
    <row r="528" spans="1:13">
      <c r="A528" t="s">
        <v>17</v>
      </c>
      <c r="C528" s="3">
        <v>0</v>
      </c>
      <c r="D528" s="3">
        <v>1</v>
      </c>
      <c r="E528" s="3">
        <v>0</v>
      </c>
      <c r="G528" s="3">
        <v>0</v>
      </c>
      <c r="H528" s="3">
        <v>0</v>
      </c>
      <c r="I528" s="3">
        <v>1</v>
      </c>
      <c r="K528" s="3">
        <v>0</v>
      </c>
      <c r="L528" s="3">
        <v>1</v>
      </c>
      <c r="M528" s="3">
        <v>0</v>
      </c>
    </row>
    <row r="529" spans="1:13">
      <c r="A529" t="s">
        <v>18</v>
      </c>
      <c r="C529" s="3">
        <v>0</v>
      </c>
      <c r="D529" s="3">
        <v>1</v>
      </c>
      <c r="E529" s="3">
        <v>0</v>
      </c>
      <c r="G529" s="3">
        <v>1</v>
      </c>
      <c r="H529" s="3">
        <v>0</v>
      </c>
      <c r="I529" s="3">
        <v>0</v>
      </c>
      <c r="K529" s="3">
        <v>0</v>
      </c>
      <c r="L529" s="3">
        <v>0</v>
      </c>
      <c r="M529" s="3">
        <v>1</v>
      </c>
    </row>
    <row r="530" spans="1:13">
      <c r="A530" t="s">
        <v>19</v>
      </c>
      <c r="C530" s="3">
        <f>C526*C529*C528-C528</f>
        <v>0</v>
      </c>
      <c r="D530" s="3">
        <f>D526*D529*D528-D528</f>
        <v>2.4900000000000002</v>
      </c>
      <c r="E530" s="3">
        <f>E526*E529*E528-E528</f>
        <v>0</v>
      </c>
      <c r="G530" s="3">
        <f>G526*G529*G528-G528</f>
        <v>0</v>
      </c>
      <c r="H530" s="3">
        <f>H526*H529*H528-H528</f>
        <v>0</v>
      </c>
      <c r="I530" s="3">
        <f>I526*I529*I528-I528</f>
        <v>-1</v>
      </c>
      <c r="K530" s="3">
        <f>K526*K529*K528-K528</f>
        <v>0</v>
      </c>
      <c r="L530" s="3">
        <f>L526*L529*L528-L528</f>
        <v>-1</v>
      </c>
      <c r="M530" s="3">
        <f>M526*M529*M528-M528</f>
        <v>0</v>
      </c>
    </row>
    <row r="532" spans="1:13">
      <c r="A532" s="1" t="s">
        <v>0</v>
      </c>
      <c r="C532" s="1" t="s">
        <v>1</v>
      </c>
      <c r="E532" s="1">
        <f>0+C539+D539+E539 + E523</f>
        <v>-0.62999999999999901</v>
      </c>
      <c r="G532" s="1" t="s">
        <v>2</v>
      </c>
      <c r="I532" s="1">
        <f>0+G539+H539+I539 + I523</f>
        <v>-11.720000000000002</v>
      </c>
      <c r="K532" s="1" t="s">
        <v>3</v>
      </c>
      <c r="M532" s="1">
        <f>0+K539+L539+M539 + M523</f>
        <v>8.5399999999999974</v>
      </c>
    </row>
    <row r="533" spans="1:13">
      <c r="A533" t="s">
        <v>82</v>
      </c>
      <c r="C533" s="2" t="s">
        <v>5</v>
      </c>
      <c r="D533" s="2" t="s">
        <v>6</v>
      </c>
      <c r="E533" s="2" t="s">
        <v>7</v>
      </c>
      <c r="G533" s="2" t="s">
        <v>8</v>
      </c>
      <c r="H533" s="2" t="s">
        <v>9</v>
      </c>
      <c r="I533" s="2" t="s">
        <v>10</v>
      </c>
      <c r="K533" s="2" t="s">
        <v>11</v>
      </c>
      <c r="L533" s="2" t="s">
        <v>12</v>
      </c>
      <c r="M533" s="2" t="s">
        <v>13</v>
      </c>
    </row>
    <row r="534" spans="1:13">
      <c r="A534" t="s">
        <v>14</v>
      </c>
      <c r="C534" s="3">
        <v>2.403</v>
      </c>
      <c r="D534" s="3">
        <v>2.3959999999999999</v>
      </c>
      <c r="E534" s="3">
        <v>5.9969999999999999</v>
      </c>
      <c r="G534" s="3">
        <v>7.0019999999999998</v>
      </c>
      <c r="H534" s="3">
        <v>1.5660000000000001</v>
      </c>
      <c r="I534" s="3">
        <v>4.5709999999999997</v>
      </c>
      <c r="K534" s="3">
        <v>1.8049999999999999</v>
      </c>
      <c r="L534" s="3">
        <v>4.25</v>
      </c>
      <c r="M534" s="3">
        <v>4.7439999999999998</v>
      </c>
    </row>
    <row r="535" spans="1:13">
      <c r="A535" t="s">
        <v>15</v>
      </c>
      <c r="C535" s="3">
        <v>2.02</v>
      </c>
      <c r="D535" s="3">
        <v>3.43</v>
      </c>
      <c r="E535" s="3">
        <v>4.1100000000000003</v>
      </c>
      <c r="G535" s="3">
        <v>2.74</v>
      </c>
      <c r="H535" s="3">
        <v>2.17</v>
      </c>
      <c r="I535" s="3">
        <v>4.5</v>
      </c>
      <c r="K535" s="3">
        <v>2.3199999999999998</v>
      </c>
      <c r="L535" s="3">
        <v>2.64</v>
      </c>
      <c r="M535" s="3">
        <v>4.22</v>
      </c>
    </row>
    <row r="536" spans="1:13">
      <c r="A536" t="s">
        <v>16</v>
      </c>
      <c r="C536" s="3">
        <f>C535/C534</f>
        <v>0.84061589679567206</v>
      </c>
      <c r="D536" s="3">
        <f>D535/D534</f>
        <v>1.4315525876460768</v>
      </c>
      <c r="E536" s="3">
        <f>E535/E534</f>
        <v>0.68534267133566795</v>
      </c>
      <c r="G536" s="3">
        <f>G535/G534</f>
        <v>0.39131676663810344</v>
      </c>
      <c r="H536" s="3">
        <f>H535/H534</f>
        <v>1.3856960408684547</v>
      </c>
      <c r="I536" s="3">
        <f>I535/I534</f>
        <v>0.98446729380879461</v>
      </c>
      <c r="K536" s="3">
        <f>K535/K534</f>
        <v>1.2853185595567866</v>
      </c>
      <c r="L536" s="3">
        <f>L535/L534</f>
        <v>0.62117647058823533</v>
      </c>
      <c r="M536" s="3">
        <f>M535/M534</f>
        <v>0.88954468802698139</v>
      </c>
    </row>
    <row r="537" spans="1:13">
      <c r="A537" t="s">
        <v>17</v>
      </c>
      <c r="C537" s="3">
        <v>0</v>
      </c>
      <c r="D537" s="3">
        <v>1</v>
      </c>
      <c r="E537" s="3">
        <v>0</v>
      </c>
      <c r="G537" s="3">
        <v>0</v>
      </c>
      <c r="H537" s="3">
        <v>1</v>
      </c>
      <c r="I537" s="3">
        <v>0</v>
      </c>
      <c r="K537" s="3">
        <v>1</v>
      </c>
      <c r="L537" s="3">
        <v>0</v>
      </c>
      <c r="M537" s="3">
        <v>0</v>
      </c>
    </row>
    <row r="538" spans="1:13">
      <c r="A538" t="s">
        <v>18</v>
      </c>
      <c r="C538" s="3">
        <v>1</v>
      </c>
      <c r="D538" s="3">
        <v>0</v>
      </c>
      <c r="E538" s="3">
        <v>0</v>
      </c>
      <c r="G538" s="3">
        <v>0</v>
      </c>
      <c r="H538" s="3">
        <v>0</v>
      </c>
      <c r="I538" s="3">
        <v>1</v>
      </c>
      <c r="K538" s="3">
        <v>1</v>
      </c>
      <c r="L538" s="3">
        <v>0</v>
      </c>
      <c r="M538" s="3">
        <v>0</v>
      </c>
    </row>
    <row r="539" spans="1:13">
      <c r="A539" t="s">
        <v>19</v>
      </c>
      <c r="C539" s="3">
        <f>C535*C538*C537-C537</f>
        <v>0</v>
      </c>
      <c r="D539" s="3">
        <f>D535*D538*D537-D537</f>
        <v>-1</v>
      </c>
      <c r="E539" s="3">
        <f>E535*E538*E537-E537</f>
        <v>0</v>
      </c>
      <c r="G539" s="3">
        <f>G535*G538*G537-G537</f>
        <v>0</v>
      </c>
      <c r="H539" s="3">
        <f>H535*H538*H537-H537</f>
        <v>-1</v>
      </c>
      <c r="I539" s="3">
        <f>I535*I538*I537-I537</f>
        <v>0</v>
      </c>
      <c r="K539" s="3">
        <f>K535*K538*K537-K537</f>
        <v>1.3199999999999998</v>
      </c>
      <c r="L539" s="3">
        <f>L535*L538*L537-L537</f>
        <v>0</v>
      </c>
      <c r="M539" s="3">
        <f>M535*M538*M537-M537</f>
        <v>0</v>
      </c>
    </row>
    <row r="541" spans="1:13">
      <c r="A541" s="1" t="s">
        <v>0</v>
      </c>
      <c r="C541" s="1" t="s">
        <v>1</v>
      </c>
      <c r="E541" s="1">
        <f>0+C548+D548+E548 + E532</f>
        <v>0.12000000000000099</v>
      </c>
      <c r="G541" s="1" t="s">
        <v>2</v>
      </c>
      <c r="I541" s="1">
        <f>0+G548+H548+I548 + I532</f>
        <v>-10.320000000000002</v>
      </c>
      <c r="K541" s="1" t="s">
        <v>3</v>
      </c>
      <c r="M541" s="1">
        <f>0+K548+L548+M548 + M532</f>
        <v>7.5399999999999974</v>
      </c>
    </row>
    <row r="542" spans="1:13">
      <c r="A542" t="s">
        <v>83</v>
      </c>
      <c r="C542" s="2" t="s">
        <v>5</v>
      </c>
      <c r="D542" s="2" t="s">
        <v>6</v>
      </c>
      <c r="E542" s="2" t="s">
        <v>7</v>
      </c>
      <c r="G542" s="2" t="s">
        <v>8</v>
      </c>
      <c r="H542" s="2" t="s">
        <v>9</v>
      </c>
      <c r="I542" s="2" t="s">
        <v>10</v>
      </c>
      <c r="K542" s="2" t="s">
        <v>11</v>
      </c>
      <c r="L542" s="2" t="s">
        <v>12</v>
      </c>
      <c r="M542" s="2" t="s">
        <v>13</v>
      </c>
    </row>
    <row r="543" spans="1:13">
      <c r="A543" t="s">
        <v>14</v>
      </c>
      <c r="C543" s="3">
        <v>4.6379999999999999</v>
      </c>
      <c r="D543" s="3">
        <v>8.4169999999999998</v>
      </c>
      <c r="E543" s="3">
        <v>1.502</v>
      </c>
      <c r="G543" s="3">
        <v>19.282</v>
      </c>
      <c r="H543" s="3">
        <v>2.6019999999999999</v>
      </c>
      <c r="I543" s="3">
        <v>1.7729999999999999</v>
      </c>
      <c r="K543" s="3">
        <v>3.5190000000000001</v>
      </c>
      <c r="L543" s="3">
        <v>3.879</v>
      </c>
      <c r="M543" s="3">
        <v>2.1819999999999999</v>
      </c>
    </row>
    <row r="544" spans="1:13">
      <c r="A544" t="s">
        <v>15</v>
      </c>
      <c r="C544" s="3">
        <v>5.31</v>
      </c>
      <c r="D544" s="3">
        <v>3.69</v>
      </c>
      <c r="E544" s="3">
        <v>1.75</v>
      </c>
      <c r="G544" s="3">
        <v>5.32</v>
      </c>
      <c r="H544" s="3">
        <v>2.2599999999999998</v>
      </c>
      <c r="I544" s="3">
        <v>2.4</v>
      </c>
      <c r="K544" s="3">
        <v>4.5599999999999996</v>
      </c>
      <c r="L544" s="3">
        <v>2.74</v>
      </c>
      <c r="M544" s="3">
        <v>2.16</v>
      </c>
    </row>
    <row r="545" spans="1:14">
      <c r="A545" t="s">
        <v>16</v>
      </c>
      <c r="C545" s="3">
        <f>C544/C543</f>
        <v>1.1448900388098318</v>
      </c>
      <c r="D545" s="3">
        <f>D544/D543</f>
        <v>0.43839847926814779</v>
      </c>
      <c r="E545" s="3">
        <f>E544/E543</f>
        <v>1.1651131824234353</v>
      </c>
      <c r="G545" s="3">
        <f>G544/G543</f>
        <v>0.27590498910901362</v>
      </c>
      <c r="H545" s="3">
        <f>H544/H543</f>
        <v>0.86856264411990769</v>
      </c>
      <c r="I545" s="3">
        <f>I544/I543</f>
        <v>1.3536379018612521</v>
      </c>
      <c r="K545" s="3">
        <f>K544/K543</f>
        <v>1.2958226768968455</v>
      </c>
      <c r="L545" s="3">
        <f>L544/L543</f>
        <v>0.70636762052075286</v>
      </c>
      <c r="M545" s="3">
        <f>M544/M543</f>
        <v>0.98991750687442726</v>
      </c>
    </row>
    <row r="546" spans="1:14">
      <c r="A546" t="s">
        <v>17</v>
      </c>
      <c r="C546" s="3">
        <v>0</v>
      </c>
      <c r="D546" s="3">
        <v>0</v>
      </c>
      <c r="E546" s="3">
        <v>1</v>
      </c>
      <c r="G546" s="3">
        <v>0</v>
      </c>
      <c r="H546" s="3">
        <v>0</v>
      </c>
      <c r="I546" s="3">
        <v>1</v>
      </c>
      <c r="K546" s="3">
        <v>1</v>
      </c>
      <c r="L546" s="3">
        <v>0</v>
      </c>
      <c r="M546" s="3">
        <v>0</v>
      </c>
    </row>
    <row r="547" spans="1:14">
      <c r="A547" t="s">
        <v>18</v>
      </c>
      <c r="C547" s="3">
        <v>0</v>
      </c>
      <c r="D547" s="3">
        <v>0</v>
      </c>
      <c r="E547" s="3">
        <v>1</v>
      </c>
      <c r="G547" s="3">
        <v>0</v>
      </c>
      <c r="H547" s="3">
        <v>0</v>
      </c>
      <c r="I547" s="3">
        <v>1</v>
      </c>
      <c r="K547" s="3">
        <v>0</v>
      </c>
      <c r="L547" s="3">
        <v>0</v>
      </c>
      <c r="M547" s="3">
        <v>1</v>
      </c>
    </row>
    <row r="548" spans="1:14">
      <c r="A548" t="s">
        <v>19</v>
      </c>
      <c r="C548" s="3">
        <f>C544*C547*C546-C546</f>
        <v>0</v>
      </c>
      <c r="D548" s="3">
        <f>D544*D547*D546-D546</f>
        <v>0</v>
      </c>
      <c r="E548" s="3">
        <f>E544*E547*E546-E546</f>
        <v>0.75</v>
      </c>
      <c r="G548" s="3">
        <f>G544*G547*G546-G546</f>
        <v>0</v>
      </c>
      <c r="H548" s="3">
        <f>H544*H547*H546-H546</f>
        <v>0</v>
      </c>
      <c r="I548" s="3">
        <f>I544*I547*I546-I546</f>
        <v>1.4</v>
      </c>
      <c r="K548" s="3">
        <f>K544*K547*K546-K546</f>
        <v>-1</v>
      </c>
      <c r="L548" s="3">
        <f>L544*L547*L546-L546</f>
        <v>0</v>
      </c>
      <c r="M548" s="3">
        <f>M544*M547*M546-M546</f>
        <v>0</v>
      </c>
    </row>
    <row r="550" spans="1:14" s="7" customFormat="1">
      <c r="A550" s="6" t="s">
        <v>0</v>
      </c>
      <c r="C550" s="6" t="s">
        <v>1</v>
      </c>
      <c r="E550" s="6">
        <f>0+C557+D557+E557 + E541</f>
        <v>-0.87999999999999901</v>
      </c>
      <c r="G550" s="6" t="s">
        <v>2</v>
      </c>
      <c r="I550" s="6">
        <f>0+G557+H557+I557 + I541</f>
        <v>-11.320000000000002</v>
      </c>
      <c r="K550" s="6" t="s">
        <v>3</v>
      </c>
      <c r="M550" s="6">
        <f>0+K557+L557+M557 + M541</f>
        <v>6.5399999999999974</v>
      </c>
      <c r="N550" s="7">
        <f>E550+I550+M550-N478-N352-N415</f>
        <v>-11.51</v>
      </c>
    </row>
    <row r="551" spans="1:14">
      <c r="A551" t="s">
        <v>84</v>
      </c>
      <c r="C551" s="2" t="s">
        <v>5</v>
      </c>
      <c r="D551" s="2" t="s">
        <v>6</v>
      </c>
      <c r="E551" s="2" t="s">
        <v>7</v>
      </c>
      <c r="G551" s="2" t="s">
        <v>8</v>
      </c>
      <c r="H551" s="2" t="s">
        <v>9</v>
      </c>
      <c r="I551" s="2" t="s">
        <v>10</v>
      </c>
      <c r="K551" s="2" t="s">
        <v>11</v>
      </c>
      <c r="L551" s="2" t="s">
        <v>12</v>
      </c>
      <c r="M551" s="2" t="s">
        <v>13</v>
      </c>
    </row>
    <row r="552" spans="1:14">
      <c r="A552" t="s">
        <v>14</v>
      </c>
      <c r="C552" s="3">
        <v>1.46</v>
      </c>
      <c r="D552" s="3">
        <v>4.6420000000000003</v>
      </c>
      <c r="E552" s="3">
        <v>10.023</v>
      </c>
      <c r="G552" s="3">
        <v>1.383</v>
      </c>
      <c r="H552" s="3">
        <v>5.0090000000000003</v>
      </c>
      <c r="I552" s="3">
        <v>12.888</v>
      </c>
      <c r="K552" s="3">
        <v>1.829</v>
      </c>
      <c r="L552" s="3">
        <v>4.6340000000000003</v>
      </c>
      <c r="M552" s="3">
        <v>4.2089999999999996</v>
      </c>
    </row>
    <row r="553" spans="1:14">
      <c r="A553" t="s">
        <v>15</v>
      </c>
      <c r="C553" s="3">
        <v>1.35</v>
      </c>
      <c r="D553" s="3">
        <v>4.84</v>
      </c>
      <c r="E553" s="3">
        <v>11.7</v>
      </c>
      <c r="G553" s="3">
        <v>1.83</v>
      </c>
      <c r="H553" s="3">
        <v>2.56</v>
      </c>
      <c r="I553" s="3">
        <v>9.07</v>
      </c>
      <c r="K553" s="3">
        <v>1.64</v>
      </c>
      <c r="L553" s="3">
        <v>3.21</v>
      </c>
      <c r="M553" s="3">
        <v>8.01</v>
      </c>
    </row>
    <row r="554" spans="1:14">
      <c r="A554" t="s">
        <v>16</v>
      </c>
      <c r="C554" s="3">
        <f>C553/C552</f>
        <v>0.92465753424657537</v>
      </c>
      <c r="D554" s="3">
        <f>D553/D552</f>
        <v>1.0426540284360188</v>
      </c>
      <c r="E554" s="3">
        <f>E553/E552</f>
        <v>1.1673151750972763</v>
      </c>
      <c r="G554" s="3">
        <f>G553/G552</f>
        <v>1.3232104121475055</v>
      </c>
      <c r="H554" s="3">
        <f>H553/H552</f>
        <v>0.5110800558993811</v>
      </c>
      <c r="I554" s="3">
        <f>I553/I552</f>
        <v>0.70375543140906271</v>
      </c>
      <c r="K554" s="3">
        <f>K553/K552</f>
        <v>0.89666484417714598</v>
      </c>
      <c r="L554" s="3">
        <f>L553/L552</f>
        <v>0.69270608545533008</v>
      </c>
      <c r="M554" s="3">
        <f>M553/M552</f>
        <v>1.903064861012117</v>
      </c>
    </row>
    <row r="555" spans="1:14">
      <c r="A555" t="s">
        <v>17</v>
      </c>
      <c r="C555" s="3">
        <v>0</v>
      </c>
      <c r="D555" s="3">
        <v>0</v>
      </c>
      <c r="E555" s="3">
        <v>1</v>
      </c>
      <c r="G555" s="3">
        <v>1</v>
      </c>
      <c r="H555" s="3">
        <v>0</v>
      </c>
      <c r="I555" s="3">
        <v>0</v>
      </c>
      <c r="K555" s="3">
        <v>0</v>
      </c>
      <c r="L555" s="3">
        <v>0</v>
      </c>
      <c r="M555" s="3">
        <v>1</v>
      </c>
    </row>
    <row r="556" spans="1:14">
      <c r="A556" t="s">
        <v>18</v>
      </c>
      <c r="C556" s="3">
        <v>1</v>
      </c>
      <c r="D556" s="3">
        <v>0</v>
      </c>
      <c r="E556" s="3">
        <v>0</v>
      </c>
      <c r="G556" s="3">
        <v>0</v>
      </c>
      <c r="H556" s="3">
        <v>1</v>
      </c>
      <c r="I556" s="3">
        <v>0</v>
      </c>
      <c r="K556" s="3">
        <v>1</v>
      </c>
      <c r="L556" s="3">
        <v>0</v>
      </c>
      <c r="M556" s="3">
        <v>0</v>
      </c>
    </row>
    <row r="557" spans="1:14">
      <c r="A557" t="s">
        <v>19</v>
      </c>
      <c r="C557" s="3">
        <f>C553*C556*C555-C555</f>
        <v>0</v>
      </c>
      <c r="D557" s="3">
        <f>D553*D556*D555-D555</f>
        <v>0</v>
      </c>
      <c r="E557" s="3">
        <f>E553*E556*E555-E555</f>
        <v>-1</v>
      </c>
      <c r="G557" s="3">
        <f>G553*G556*G555-G555</f>
        <v>-1</v>
      </c>
      <c r="H557" s="3">
        <f>H553*H556*H555-H555</f>
        <v>0</v>
      </c>
      <c r="I557" s="3">
        <f>I553*I556*I555-I555</f>
        <v>0</v>
      </c>
      <c r="K557" s="3">
        <f>K553*K556*K555-K555</f>
        <v>0</v>
      </c>
      <c r="L557" s="3">
        <f>L553*L556*L555-L555</f>
        <v>0</v>
      </c>
      <c r="M557" s="3">
        <f>M553*M556*M555-M555</f>
        <v>-1</v>
      </c>
    </row>
    <row r="559" spans="1:14">
      <c r="A559" s="1" t="s">
        <v>49</v>
      </c>
      <c r="C559" s="1" t="s">
        <v>1</v>
      </c>
      <c r="E559" s="1">
        <f>0+C566+D566+E566 + E550</f>
        <v>-0.15999999999999903</v>
      </c>
      <c r="G559" s="1" t="s">
        <v>2</v>
      </c>
      <c r="I559" s="1">
        <f>0+G566+H566+I566 + I550</f>
        <v>-9.9400000000000013</v>
      </c>
      <c r="K559" s="1" t="s">
        <v>3</v>
      </c>
      <c r="M559" s="1">
        <f>0+K566+L566+M566 + M550</f>
        <v>7.6499999999999968</v>
      </c>
    </row>
    <row r="560" spans="1:14">
      <c r="A560" t="s">
        <v>85</v>
      </c>
      <c r="C560" s="2" t="s">
        <v>5</v>
      </c>
      <c r="D560" s="2" t="s">
        <v>6</v>
      </c>
      <c r="E560" s="2" t="s">
        <v>7</v>
      </c>
      <c r="G560" s="2" t="s">
        <v>8</v>
      </c>
      <c r="H560" s="2" t="s">
        <v>9</v>
      </c>
      <c r="I560" s="2" t="s">
        <v>10</v>
      </c>
      <c r="K560" s="2" t="s">
        <v>11</v>
      </c>
      <c r="L560" s="2" t="s">
        <v>12</v>
      </c>
      <c r="M560" s="2" t="s">
        <v>13</v>
      </c>
    </row>
    <row r="561" spans="1:13">
      <c r="A561" t="s">
        <v>14</v>
      </c>
      <c r="C561" s="3">
        <v>1.5840000000000001</v>
      </c>
      <c r="D561" s="3">
        <v>4.0940000000000003</v>
      </c>
      <c r="E561" s="3">
        <v>8.0269999999999992</v>
      </c>
      <c r="G561" s="3">
        <v>2.1659999999999999</v>
      </c>
      <c r="H561" s="3">
        <v>2.2010000000000001</v>
      </c>
      <c r="I561" s="3">
        <v>11.877000000000001</v>
      </c>
      <c r="K561" s="3">
        <v>2.1280000000000001</v>
      </c>
      <c r="L561" s="3">
        <v>3.0750000000000002</v>
      </c>
      <c r="M561" s="3">
        <v>4.8760000000000003</v>
      </c>
    </row>
    <row r="562" spans="1:13">
      <c r="A562" t="s">
        <v>15</v>
      </c>
      <c r="C562" s="3">
        <v>1.72</v>
      </c>
      <c r="D562" s="3">
        <v>3.84</v>
      </c>
      <c r="E562" s="3">
        <v>5.33</v>
      </c>
      <c r="G562" s="3">
        <v>2.33</v>
      </c>
      <c r="H562" s="3">
        <v>2.38</v>
      </c>
      <c r="I562" s="3">
        <v>5.41</v>
      </c>
      <c r="K562" s="3">
        <v>2.11</v>
      </c>
      <c r="L562" s="3">
        <v>2.77</v>
      </c>
      <c r="M562" s="3">
        <v>4.74</v>
      </c>
    </row>
    <row r="563" spans="1:13">
      <c r="A563" t="s">
        <v>16</v>
      </c>
      <c r="C563" s="3">
        <f>C562/C561</f>
        <v>1.0858585858585859</v>
      </c>
      <c r="D563" s="3">
        <f>D562/D561</f>
        <v>0.93795798729848545</v>
      </c>
      <c r="E563" s="3">
        <f>E562/E561</f>
        <v>0.66400896972717083</v>
      </c>
      <c r="G563" s="3">
        <f>G562/G561</f>
        <v>1.0757156048014775</v>
      </c>
      <c r="H563" s="3">
        <f>H562/H561</f>
        <v>1.0813266696955928</v>
      </c>
      <c r="I563" s="3">
        <f>I562/I561</f>
        <v>0.45550223120316574</v>
      </c>
      <c r="K563" s="3">
        <f>K562/K561</f>
        <v>0.9915413533834585</v>
      </c>
      <c r="L563" s="3">
        <f>L562/L561</f>
        <v>0.90081300813008125</v>
      </c>
      <c r="M563" s="3">
        <f>M562/M561</f>
        <v>0.97210828547990158</v>
      </c>
    </row>
    <row r="564" spans="1:13">
      <c r="A564" t="s">
        <v>17</v>
      </c>
      <c r="C564" s="3">
        <v>1</v>
      </c>
      <c r="D564" s="3">
        <v>0</v>
      </c>
      <c r="E564" s="3">
        <v>0</v>
      </c>
      <c r="G564" s="3">
        <v>0</v>
      </c>
      <c r="H564" s="3">
        <v>1</v>
      </c>
      <c r="I564" s="3">
        <v>0</v>
      </c>
      <c r="K564" s="3">
        <v>1</v>
      </c>
      <c r="L564" s="3">
        <v>0</v>
      </c>
      <c r="M564" s="3">
        <v>0</v>
      </c>
    </row>
    <row r="565" spans="1:13">
      <c r="A565" t="s">
        <v>18</v>
      </c>
      <c r="C565" s="3">
        <v>1</v>
      </c>
      <c r="D565" s="3">
        <v>0</v>
      </c>
      <c r="E565" s="3">
        <v>0</v>
      </c>
      <c r="G565" s="3">
        <v>0</v>
      </c>
      <c r="H565" s="3">
        <v>1</v>
      </c>
      <c r="I565" s="3">
        <v>0</v>
      </c>
      <c r="K565" s="3">
        <v>1</v>
      </c>
      <c r="L565" s="3">
        <v>0</v>
      </c>
      <c r="M565" s="3">
        <v>0</v>
      </c>
    </row>
    <row r="566" spans="1:13">
      <c r="A566" t="s">
        <v>19</v>
      </c>
      <c r="C566" s="3">
        <f>C562*C565*C564-C564</f>
        <v>0.72</v>
      </c>
      <c r="D566" s="3">
        <f>D562*D565*D564-D564</f>
        <v>0</v>
      </c>
      <c r="E566" s="3">
        <f>E562*E565*E564-E564</f>
        <v>0</v>
      </c>
      <c r="G566" s="3">
        <f>G562*G565*G564-G564</f>
        <v>0</v>
      </c>
      <c r="H566" s="3">
        <f>H562*H565*H564-H564</f>
        <v>1.38</v>
      </c>
      <c r="I566" s="3">
        <f>I562*I565*I564-I564</f>
        <v>0</v>
      </c>
      <c r="K566" s="3">
        <f>K562*K565*K564-K564</f>
        <v>1.1099999999999999</v>
      </c>
      <c r="L566" s="3">
        <f>L562*L565*L564-L564</f>
        <v>0</v>
      </c>
      <c r="M566" s="3">
        <f>M562*M565*M564-M564</f>
        <v>0</v>
      </c>
    </row>
    <row r="568" spans="1:13">
      <c r="A568" s="1" t="s">
        <v>49</v>
      </c>
      <c r="C568" s="1" t="s">
        <v>1</v>
      </c>
      <c r="E568" s="1">
        <f>0+C575+D575+E575 + E559</f>
        <v>-1.159999999999999</v>
      </c>
      <c r="G568" s="1" t="s">
        <v>2</v>
      </c>
      <c r="I568" s="1">
        <f>0+G575+H575+I575 + I559</f>
        <v>-10.940000000000001</v>
      </c>
      <c r="K568" s="1" t="s">
        <v>3</v>
      </c>
      <c r="M568" s="1">
        <f>0+K575+L575+M575 + M559</f>
        <v>9.8399999999999963</v>
      </c>
    </row>
    <row r="569" spans="1:13">
      <c r="A569" t="s">
        <v>86</v>
      </c>
      <c r="C569" s="2" t="s">
        <v>5</v>
      </c>
      <c r="D569" s="2" t="s">
        <v>6</v>
      </c>
      <c r="E569" s="2" t="s">
        <v>7</v>
      </c>
      <c r="G569" s="2" t="s">
        <v>8</v>
      </c>
      <c r="H569" s="2" t="s">
        <v>9</v>
      </c>
      <c r="I569" s="2" t="s">
        <v>10</v>
      </c>
      <c r="K569" s="2" t="s">
        <v>11</v>
      </c>
      <c r="L569" s="2" t="s">
        <v>12</v>
      </c>
      <c r="M569" s="2" t="s">
        <v>13</v>
      </c>
    </row>
    <row r="570" spans="1:13">
      <c r="A570" t="s">
        <v>14</v>
      </c>
      <c r="C570" s="3">
        <v>3.331</v>
      </c>
      <c r="D570" s="3">
        <v>2.6970000000000001</v>
      </c>
      <c r="E570" s="3">
        <v>3.06</v>
      </c>
      <c r="G570" s="3">
        <v>2.8660000000000001</v>
      </c>
      <c r="H570" s="3">
        <v>3.7829999999999999</v>
      </c>
      <c r="I570" s="3">
        <v>2.585</v>
      </c>
      <c r="K570" s="3">
        <v>2.8250000000000002</v>
      </c>
      <c r="L570" s="3">
        <v>2.6739999999999999</v>
      </c>
      <c r="M570" s="3">
        <v>3.673</v>
      </c>
    </row>
    <row r="571" spans="1:13">
      <c r="A571" t="s">
        <v>15</v>
      </c>
      <c r="C571" s="3">
        <v>3.06</v>
      </c>
      <c r="D571" s="3">
        <v>3.26</v>
      </c>
      <c r="E571" s="3">
        <v>2.54</v>
      </c>
      <c r="G571" s="3">
        <v>3.69</v>
      </c>
      <c r="H571" s="3">
        <v>2.21</v>
      </c>
      <c r="I571" s="3">
        <v>3.23</v>
      </c>
      <c r="K571" s="3">
        <v>3.19</v>
      </c>
      <c r="L571" s="3">
        <v>2.5499999999999998</v>
      </c>
      <c r="M571" s="3">
        <v>2.93</v>
      </c>
    </row>
    <row r="572" spans="1:13">
      <c r="A572" t="s">
        <v>16</v>
      </c>
      <c r="C572" s="3">
        <f>C571/C570</f>
        <v>0.91864305013509462</v>
      </c>
      <c r="D572" s="3">
        <f>D571/D570</f>
        <v>1.2087504634779382</v>
      </c>
      <c r="E572" s="3">
        <f>E571/E570</f>
        <v>0.83006535947712423</v>
      </c>
      <c r="G572" s="3">
        <f>G571/G570</f>
        <v>1.2875087229588276</v>
      </c>
      <c r="H572" s="3">
        <f>H571/H570</f>
        <v>0.58419243986254299</v>
      </c>
      <c r="I572" s="3">
        <f>I571/I570</f>
        <v>1.2495164410058026</v>
      </c>
      <c r="K572" s="3">
        <f>K571/K570</f>
        <v>1.1292035398230087</v>
      </c>
      <c r="L572" s="3">
        <f>L571/L570</f>
        <v>0.95362752430815256</v>
      </c>
      <c r="M572" s="3">
        <f>M571/M570</f>
        <v>0.79771304111080865</v>
      </c>
    </row>
    <row r="573" spans="1:13">
      <c r="A573" t="s">
        <v>17</v>
      </c>
      <c r="C573" s="3">
        <v>0</v>
      </c>
      <c r="D573" s="3">
        <v>1</v>
      </c>
      <c r="E573" s="3">
        <v>0</v>
      </c>
      <c r="G573" s="3">
        <v>1</v>
      </c>
      <c r="H573" s="3">
        <v>0</v>
      </c>
      <c r="I573" s="3">
        <v>0</v>
      </c>
      <c r="K573" s="3">
        <v>1</v>
      </c>
      <c r="L573" s="3">
        <v>0</v>
      </c>
      <c r="M573" s="3">
        <v>0</v>
      </c>
    </row>
    <row r="574" spans="1:13">
      <c r="A574" t="s">
        <v>18</v>
      </c>
      <c r="C574" s="3">
        <v>1</v>
      </c>
      <c r="D574" s="3">
        <v>0</v>
      </c>
      <c r="E574" s="3">
        <v>0</v>
      </c>
      <c r="G574" s="3">
        <v>0</v>
      </c>
      <c r="H574" s="3">
        <v>0</v>
      </c>
      <c r="I574" s="3">
        <v>1</v>
      </c>
      <c r="K574" s="3">
        <v>1</v>
      </c>
      <c r="L574" s="3">
        <v>0</v>
      </c>
      <c r="M574" s="3">
        <v>0</v>
      </c>
    </row>
    <row r="575" spans="1:13">
      <c r="A575" t="s">
        <v>19</v>
      </c>
      <c r="C575" s="3">
        <f>C571*C574*C573-C573</f>
        <v>0</v>
      </c>
      <c r="D575" s="3">
        <f>D571*D574*D573-D573</f>
        <v>-1</v>
      </c>
      <c r="E575" s="3">
        <f>E571*E574*E573-E573</f>
        <v>0</v>
      </c>
      <c r="G575" s="3">
        <f>G571*G574*G573-G573</f>
        <v>-1</v>
      </c>
      <c r="H575" s="3">
        <f>H571*H574*H573-H573</f>
        <v>0</v>
      </c>
      <c r="I575" s="3">
        <f>I571*I574*I573-I573</f>
        <v>0</v>
      </c>
      <c r="K575" s="3">
        <f>K571*K574*K573-K573</f>
        <v>2.19</v>
      </c>
      <c r="L575" s="3">
        <f>L571*L574*L573-L573</f>
        <v>0</v>
      </c>
      <c r="M575" s="3">
        <f>M571*M574*M573-M573</f>
        <v>0</v>
      </c>
    </row>
    <row r="577" spans="1:13">
      <c r="A577" s="1" t="s">
        <v>49</v>
      </c>
      <c r="C577" s="1" t="s">
        <v>1</v>
      </c>
      <c r="E577" s="1">
        <f>0+C584+D584+E584 + E568</f>
        <v>6.6000000000000005</v>
      </c>
      <c r="G577" s="1" t="s">
        <v>2</v>
      </c>
      <c r="I577" s="1">
        <f>0+G584+H584+I584 + I568</f>
        <v>-9.2800000000000011</v>
      </c>
      <c r="K577" s="1" t="s">
        <v>3</v>
      </c>
      <c r="M577" s="1">
        <f>0+K584+L584+M584 + M568</f>
        <v>8.8399999999999963</v>
      </c>
    </row>
    <row r="578" spans="1:13">
      <c r="A578" t="s">
        <v>87</v>
      </c>
      <c r="C578" s="2" t="s">
        <v>5</v>
      </c>
      <c r="D578" s="2" t="s">
        <v>6</v>
      </c>
      <c r="E578" s="2" t="s">
        <v>7</v>
      </c>
      <c r="G578" s="2" t="s">
        <v>8</v>
      </c>
      <c r="H578" s="2" t="s">
        <v>9</v>
      </c>
      <c r="I578" s="2" t="s">
        <v>10</v>
      </c>
      <c r="K578" s="2" t="s">
        <v>11</v>
      </c>
      <c r="L578" s="2" t="s">
        <v>12</v>
      </c>
      <c r="M578" s="2" t="s">
        <v>13</v>
      </c>
    </row>
    <row r="579" spans="1:13">
      <c r="A579" t="s">
        <v>14</v>
      </c>
      <c r="C579" s="3">
        <v>1.38</v>
      </c>
      <c r="D579" s="3">
        <v>6.4279999999999999</v>
      </c>
      <c r="E579" s="3">
        <v>8.3279999999999994</v>
      </c>
      <c r="G579" s="3">
        <v>2.4220000000000002</v>
      </c>
      <c r="H579" s="3">
        <v>2.7919999999999998</v>
      </c>
      <c r="I579" s="3">
        <v>4.3650000000000002</v>
      </c>
      <c r="K579" s="3">
        <v>1.2909999999999999</v>
      </c>
      <c r="L579" s="3">
        <v>8.91</v>
      </c>
      <c r="M579" s="3">
        <v>9.83</v>
      </c>
    </row>
    <row r="580" spans="1:13">
      <c r="A580" t="s">
        <v>15</v>
      </c>
      <c r="C580" s="3">
        <v>1.22</v>
      </c>
      <c r="D580" s="3">
        <v>8.76</v>
      </c>
      <c r="E580" s="3">
        <v>10.3</v>
      </c>
      <c r="G580" s="3">
        <v>1.52</v>
      </c>
      <c r="H580" s="3">
        <v>3.66</v>
      </c>
      <c r="I580" s="3">
        <v>8.77</v>
      </c>
      <c r="K580" s="3">
        <v>1.4</v>
      </c>
      <c r="L580" s="3">
        <v>4.5999999999999996</v>
      </c>
      <c r="M580" s="3">
        <v>8.6300000000000008</v>
      </c>
    </row>
    <row r="581" spans="1:13">
      <c r="A581" t="s">
        <v>16</v>
      </c>
      <c r="C581" s="3">
        <f>C580/C579</f>
        <v>0.88405797101449279</v>
      </c>
      <c r="D581" s="3">
        <f>D580/D579</f>
        <v>1.3627878033602987</v>
      </c>
      <c r="E581" s="3">
        <f>E580/E579</f>
        <v>1.2367915465898176</v>
      </c>
      <c r="G581" s="3">
        <f>G580/G579</f>
        <v>0.62758051197357556</v>
      </c>
      <c r="H581" s="3">
        <f>H580/H579</f>
        <v>1.3108882521489973</v>
      </c>
      <c r="I581" s="3">
        <f>I580/I579</f>
        <v>2.0091638029782359</v>
      </c>
      <c r="K581" s="3">
        <f>K580/K579</f>
        <v>1.0844306738962044</v>
      </c>
      <c r="L581" s="3">
        <f>L580/L579</f>
        <v>0.51627384960718292</v>
      </c>
      <c r="M581" s="3">
        <f>M580/M579</f>
        <v>0.87792472024415058</v>
      </c>
    </row>
    <row r="582" spans="1:13">
      <c r="A582" t="s">
        <v>17</v>
      </c>
      <c r="C582" s="3">
        <v>0</v>
      </c>
      <c r="D582" s="3">
        <v>1</v>
      </c>
      <c r="E582" s="3">
        <v>0</v>
      </c>
      <c r="G582" s="3">
        <v>0</v>
      </c>
      <c r="H582" s="3">
        <v>1</v>
      </c>
      <c r="I582" s="3">
        <v>1</v>
      </c>
      <c r="K582" s="3">
        <v>1</v>
      </c>
      <c r="L582" s="3">
        <v>0</v>
      </c>
      <c r="M582" s="3">
        <v>0</v>
      </c>
    </row>
    <row r="583" spans="1:13">
      <c r="A583" t="s">
        <v>18</v>
      </c>
      <c r="C583" s="3">
        <v>0</v>
      </c>
      <c r="D583" s="3">
        <v>1</v>
      </c>
      <c r="E583" s="3">
        <v>0</v>
      </c>
      <c r="G583" s="3">
        <v>0</v>
      </c>
      <c r="H583" s="3">
        <v>1</v>
      </c>
      <c r="I583" s="3">
        <v>0</v>
      </c>
      <c r="K583" s="3">
        <v>0</v>
      </c>
      <c r="L583" s="3">
        <v>1</v>
      </c>
      <c r="M583" s="3">
        <v>0</v>
      </c>
    </row>
    <row r="584" spans="1:13">
      <c r="A584" t="s">
        <v>19</v>
      </c>
      <c r="C584" s="3">
        <f>C580*C583*C582-C582</f>
        <v>0</v>
      </c>
      <c r="D584" s="3">
        <f>D580*D583*D582-D582</f>
        <v>7.76</v>
      </c>
      <c r="E584" s="3">
        <f>E580*E583*E582-E582</f>
        <v>0</v>
      </c>
      <c r="G584" s="3">
        <f>G580*G583*G582-G582</f>
        <v>0</v>
      </c>
      <c r="H584" s="3">
        <f>H580*H583*H582-H582</f>
        <v>2.66</v>
      </c>
      <c r="I584" s="3">
        <f>I580*I583*I582-I582</f>
        <v>-1</v>
      </c>
      <c r="K584" s="3">
        <f>K580*K583*K582-K582</f>
        <v>-1</v>
      </c>
      <c r="L584" s="3">
        <f>L580*L583*L582-L582</f>
        <v>0</v>
      </c>
      <c r="M584" s="3">
        <f>M580*M583*M582-M582</f>
        <v>0</v>
      </c>
    </row>
    <row r="586" spans="1:13">
      <c r="A586" s="1" t="s">
        <v>49</v>
      </c>
      <c r="C586" s="1" t="s">
        <v>1</v>
      </c>
      <c r="E586" s="1">
        <f>0+C593+D593+E593 + E577</f>
        <v>5.6000000000000005</v>
      </c>
      <c r="G586" s="1" t="s">
        <v>2</v>
      </c>
      <c r="I586" s="1">
        <f>0+G593+H593+I593 + I577</f>
        <v>-10.280000000000001</v>
      </c>
      <c r="K586" s="1" t="s">
        <v>3</v>
      </c>
      <c r="M586" s="1">
        <f>0+K593+L593+M593 + M577</f>
        <v>7.8399999999999963</v>
      </c>
    </row>
    <row r="587" spans="1:13">
      <c r="A587" t="s">
        <v>88</v>
      </c>
      <c r="C587" s="2" t="s">
        <v>5</v>
      </c>
      <c r="D587" s="2" t="s">
        <v>6</v>
      </c>
      <c r="E587" s="2" t="s">
        <v>7</v>
      </c>
      <c r="G587" s="2" t="s">
        <v>8</v>
      </c>
      <c r="H587" s="2" t="s">
        <v>9</v>
      </c>
      <c r="I587" s="2" t="s">
        <v>10</v>
      </c>
      <c r="K587" s="2" t="s">
        <v>11</v>
      </c>
      <c r="L587" s="2" t="s">
        <v>12</v>
      </c>
      <c r="M587" s="2" t="s">
        <v>13</v>
      </c>
    </row>
    <row r="588" spans="1:13">
      <c r="A588" t="s">
        <v>14</v>
      </c>
      <c r="C588" s="3">
        <v>6.569</v>
      </c>
      <c r="D588" s="3">
        <v>5.3789999999999996</v>
      </c>
      <c r="E588" s="3">
        <v>1.51</v>
      </c>
      <c r="G588" s="3">
        <v>5.218</v>
      </c>
      <c r="H588" s="3">
        <v>1.5489999999999999</v>
      </c>
      <c r="I588" s="3">
        <v>6.13</v>
      </c>
      <c r="K588" s="3">
        <v>5.1180000000000003</v>
      </c>
      <c r="L588" s="3">
        <v>8.3640000000000008</v>
      </c>
      <c r="M588" s="3">
        <v>1.4590000000000001</v>
      </c>
    </row>
    <row r="589" spans="1:13">
      <c r="A589" t="s">
        <v>15</v>
      </c>
      <c r="C589" s="3">
        <v>4.26</v>
      </c>
      <c r="D589" s="3">
        <v>3.78</v>
      </c>
      <c r="E589" s="3">
        <v>1.91</v>
      </c>
      <c r="G589" s="3">
        <v>4.54</v>
      </c>
      <c r="H589" s="3">
        <v>2.38</v>
      </c>
      <c r="I589" s="3">
        <v>2.52</v>
      </c>
      <c r="K589" s="3">
        <v>4.04</v>
      </c>
      <c r="L589" s="3">
        <v>2.8</v>
      </c>
      <c r="M589" s="3">
        <v>2.2599999999999998</v>
      </c>
    </row>
    <row r="590" spans="1:13">
      <c r="A590" t="s">
        <v>16</v>
      </c>
      <c r="C590" s="3">
        <f>C589/C588</f>
        <v>0.64850053280560205</v>
      </c>
      <c r="D590" s="3">
        <f>D589/D588</f>
        <v>0.70273284997211383</v>
      </c>
      <c r="E590" s="3">
        <f>E589/E588</f>
        <v>1.2649006622516556</v>
      </c>
      <c r="G590" s="3">
        <f>G589/G588</f>
        <v>0.87006515906477577</v>
      </c>
      <c r="H590" s="3">
        <f>H589/H588</f>
        <v>1.5364751452550032</v>
      </c>
      <c r="I590" s="3">
        <f>I589/I588</f>
        <v>0.41109298531810767</v>
      </c>
      <c r="K590" s="3">
        <f>K589/K588</f>
        <v>0.78937084798749502</v>
      </c>
      <c r="L590" s="3">
        <f>L589/L588</f>
        <v>0.33476805356288852</v>
      </c>
      <c r="M590" s="3">
        <f>M589/M588</f>
        <v>1.5490061686086358</v>
      </c>
    </row>
    <row r="591" spans="1:13">
      <c r="A591" t="s">
        <v>17</v>
      </c>
      <c r="C591" s="3">
        <v>0</v>
      </c>
      <c r="D591" s="3">
        <v>0</v>
      </c>
      <c r="E591" s="3">
        <v>1</v>
      </c>
      <c r="G591" s="3">
        <v>0</v>
      </c>
      <c r="H591" s="3">
        <v>1</v>
      </c>
      <c r="I591" s="3">
        <v>0</v>
      </c>
      <c r="K591" s="3">
        <v>0</v>
      </c>
      <c r="L591" s="3">
        <v>0</v>
      </c>
      <c r="M591" s="3">
        <v>1</v>
      </c>
    </row>
    <row r="592" spans="1:13">
      <c r="A592" t="s">
        <v>18</v>
      </c>
      <c r="C592" s="3">
        <v>0</v>
      </c>
      <c r="D592" s="3">
        <v>1</v>
      </c>
      <c r="E592" s="3">
        <v>0</v>
      </c>
      <c r="G592" s="3">
        <v>0</v>
      </c>
      <c r="H592" s="3">
        <v>0</v>
      </c>
      <c r="I592" s="3">
        <v>1</v>
      </c>
      <c r="K592" s="3">
        <v>1</v>
      </c>
      <c r="L592" s="3">
        <v>0</v>
      </c>
      <c r="M592" s="3">
        <v>0</v>
      </c>
    </row>
    <row r="593" spans="1:14">
      <c r="A593" t="s">
        <v>19</v>
      </c>
      <c r="C593" s="3">
        <f>C589*C592*C591-C591</f>
        <v>0</v>
      </c>
      <c r="D593" s="3">
        <f>D589*D592*D591-D591</f>
        <v>0</v>
      </c>
      <c r="E593" s="3">
        <f>E589*E592*E591-E591</f>
        <v>-1</v>
      </c>
      <c r="G593" s="3">
        <f>G589*G592*G591-G591</f>
        <v>0</v>
      </c>
      <c r="H593" s="3">
        <f>H589*H592*H591-H591</f>
        <v>-1</v>
      </c>
      <c r="I593" s="3">
        <f>I589*I592*I591-I591</f>
        <v>0</v>
      </c>
      <c r="K593" s="3">
        <f>K589*K592*K591-K591</f>
        <v>0</v>
      </c>
      <c r="L593" s="3">
        <f>L589*L592*L591-L591</f>
        <v>0</v>
      </c>
      <c r="M593" s="3">
        <f>M589*M592*M591-M591</f>
        <v>-1</v>
      </c>
    </row>
    <row r="595" spans="1:14">
      <c r="A595" s="1" t="s">
        <v>49</v>
      </c>
      <c r="C595" s="1" t="s">
        <v>1</v>
      </c>
      <c r="E595" s="1">
        <f>0+C602+D602+E602 + E586</f>
        <v>4.6000000000000005</v>
      </c>
      <c r="G595" s="1" t="s">
        <v>2</v>
      </c>
      <c r="I595" s="1">
        <f>0+G602+H602+I602 + I586</f>
        <v>-11.280000000000001</v>
      </c>
      <c r="K595" s="1" t="s">
        <v>3</v>
      </c>
      <c r="M595" s="1">
        <f>0+K602+L602+M602 + M586</f>
        <v>6.8399999999999963</v>
      </c>
    </row>
    <row r="596" spans="1:14">
      <c r="A596" t="s">
        <v>89</v>
      </c>
      <c r="C596" s="2" t="s">
        <v>5</v>
      </c>
      <c r="D596" s="2" t="s">
        <v>6</v>
      </c>
      <c r="E596" s="2" t="s">
        <v>7</v>
      </c>
      <c r="G596" s="2" t="s">
        <v>8</v>
      </c>
      <c r="H596" s="2" t="s">
        <v>9</v>
      </c>
      <c r="I596" s="2" t="s">
        <v>10</v>
      </c>
      <c r="K596" s="2" t="s">
        <v>11</v>
      </c>
      <c r="L596" s="2" t="s">
        <v>12</v>
      </c>
      <c r="M596" s="2" t="s">
        <v>13</v>
      </c>
    </row>
    <row r="597" spans="1:14">
      <c r="A597" t="s">
        <v>14</v>
      </c>
      <c r="C597" s="3">
        <v>1.569</v>
      </c>
      <c r="D597" s="3">
        <v>4.5419999999999998</v>
      </c>
      <c r="E597" s="3">
        <v>7.0030000000000001</v>
      </c>
      <c r="G597" s="3">
        <v>3.0819999999999999</v>
      </c>
      <c r="H597" s="3">
        <v>2.2240000000000002</v>
      </c>
      <c r="I597" s="3">
        <v>4.4219999999999997</v>
      </c>
      <c r="K597" s="3">
        <v>1.512</v>
      </c>
      <c r="L597" s="3">
        <v>4.399</v>
      </c>
      <c r="M597" s="3">
        <v>8.9469999999999992</v>
      </c>
    </row>
    <row r="598" spans="1:14">
      <c r="A598" t="s">
        <v>15</v>
      </c>
      <c r="C598" s="3">
        <v>1.7</v>
      </c>
      <c r="D598" s="3">
        <v>4.05</v>
      </c>
      <c r="E598" s="3">
        <v>5.23</v>
      </c>
      <c r="G598" s="3">
        <v>2.33</v>
      </c>
      <c r="H598" s="3">
        <v>2.44</v>
      </c>
      <c r="I598" s="3">
        <v>5.14</v>
      </c>
      <c r="K598" s="3">
        <v>2.08</v>
      </c>
      <c r="L598" s="3">
        <v>2.8</v>
      </c>
      <c r="M598" s="3">
        <v>4.79</v>
      </c>
    </row>
    <row r="599" spans="1:14">
      <c r="A599" t="s">
        <v>16</v>
      </c>
      <c r="C599" s="3">
        <f>C598/C597</f>
        <v>1.0834926704907584</v>
      </c>
      <c r="D599" s="3">
        <f>D598/D597</f>
        <v>0.89167767503302509</v>
      </c>
      <c r="E599" s="3">
        <f>E598/E597</f>
        <v>0.74682279023275744</v>
      </c>
      <c r="G599" s="3">
        <f>G598/G597</f>
        <v>0.75600259571706685</v>
      </c>
      <c r="H599" s="3">
        <f>H598/H597</f>
        <v>1.0971223021582732</v>
      </c>
      <c r="I599" s="3">
        <f>I598/I597</f>
        <v>1.1623699683401176</v>
      </c>
      <c r="K599" s="3">
        <f>K598/K597</f>
        <v>1.3756613756613758</v>
      </c>
      <c r="L599" s="3">
        <f>L598/L597</f>
        <v>0.63650829734030456</v>
      </c>
      <c r="M599" s="3">
        <f>M598/M597</f>
        <v>0.53537498602883649</v>
      </c>
    </row>
    <row r="600" spans="1:14">
      <c r="A600" t="s">
        <v>17</v>
      </c>
      <c r="C600" s="3">
        <v>0</v>
      </c>
      <c r="D600" s="3">
        <v>1</v>
      </c>
      <c r="E600" s="3">
        <v>0</v>
      </c>
      <c r="G600" s="3">
        <v>0</v>
      </c>
      <c r="H600" s="3">
        <v>0</v>
      </c>
      <c r="I600" s="3">
        <v>1</v>
      </c>
      <c r="K600" s="3">
        <v>1</v>
      </c>
      <c r="L600" s="3">
        <v>0</v>
      </c>
      <c r="M600" s="3">
        <v>0</v>
      </c>
    </row>
    <row r="601" spans="1:14">
      <c r="A601" t="s">
        <v>18</v>
      </c>
      <c r="C601" s="3">
        <v>0</v>
      </c>
      <c r="D601" s="3">
        <v>0</v>
      </c>
      <c r="E601" s="3">
        <v>1</v>
      </c>
      <c r="G601" s="3">
        <v>0</v>
      </c>
      <c r="H601" s="3">
        <v>1</v>
      </c>
      <c r="I601" s="3">
        <v>0</v>
      </c>
      <c r="K601" s="3">
        <v>0</v>
      </c>
      <c r="L601" s="3">
        <v>0</v>
      </c>
      <c r="M601" s="3">
        <v>1</v>
      </c>
    </row>
    <row r="602" spans="1:14">
      <c r="A602" t="s">
        <v>19</v>
      </c>
      <c r="C602" s="3">
        <f>C598*C601*C600-C600</f>
        <v>0</v>
      </c>
      <c r="D602" s="3">
        <f>D598*D601*D600-D600</f>
        <v>-1</v>
      </c>
      <c r="E602" s="3">
        <f>E598*E601*E600-E600</f>
        <v>0</v>
      </c>
      <c r="G602" s="3">
        <f>G598*G601*G600-G600</f>
        <v>0</v>
      </c>
      <c r="H602" s="3">
        <f>H598*H601*H600-H600</f>
        <v>0</v>
      </c>
      <c r="I602" s="3">
        <f>I598*I601*I600-I600</f>
        <v>-1</v>
      </c>
      <c r="K602" s="3">
        <f>K598*K601*K600-K600</f>
        <v>-1</v>
      </c>
      <c r="L602" s="3">
        <f>L598*L601*L600-L600</f>
        <v>0</v>
      </c>
      <c r="M602" s="3">
        <f>M598*M601*M600-M600</f>
        <v>0</v>
      </c>
    </row>
    <row r="604" spans="1:14" s="7" customFormat="1">
      <c r="A604" s="6" t="s">
        <v>49</v>
      </c>
      <c r="C604" s="6" t="s">
        <v>1</v>
      </c>
      <c r="E604" s="6">
        <f>0+C611+D611+E611 + E595</f>
        <v>6.2900000000000009</v>
      </c>
      <c r="G604" s="6" t="s">
        <v>2</v>
      </c>
      <c r="I604" s="6">
        <f>0+G611+H611+I611 + I595</f>
        <v>-12.280000000000001</v>
      </c>
      <c r="K604" s="6" t="s">
        <v>3</v>
      </c>
      <c r="M604" s="6">
        <f>0+K611+L611+M611 + M595</f>
        <v>8.7599999999999962</v>
      </c>
      <c r="N604" s="7">
        <f>E604+I604+M604-N550-N352-N415-N478</f>
        <v>8.43</v>
      </c>
    </row>
    <row r="605" spans="1:14">
      <c r="A605" t="s">
        <v>90</v>
      </c>
      <c r="C605" s="2" t="s">
        <v>5</v>
      </c>
      <c r="D605" s="2" t="s">
        <v>6</v>
      </c>
      <c r="E605" s="2" t="s">
        <v>7</v>
      </c>
      <c r="G605" s="2" t="s">
        <v>8</v>
      </c>
      <c r="H605" s="2" t="s">
        <v>9</v>
      </c>
      <c r="I605" s="2" t="s">
        <v>10</v>
      </c>
      <c r="K605" s="2" t="s">
        <v>11</v>
      </c>
      <c r="L605" s="2" t="s">
        <v>12</v>
      </c>
      <c r="M605" s="2" t="s">
        <v>13</v>
      </c>
    </row>
    <row r="606" spans="1:14">
      <c r="A606" t="s">
        <v>14</v>
      </c>
      <c r="C606" s="3">
        <v>2.0289999999999999</v>
      </c>
      <c r="D606" s="3">
        <v>6.3540000000000001</v>
      </c>
      <c r="E606" s="3">
        <v>2.8580000000000001</v>
      </c>
      <c r="G606" s="3">
        <v>3.5880000000000001</v>
      </c>
      <c r="H606" s="3">
        <v>2.14</v>
      </c>
      <c r="I606" s="3">
        <v>3.9319999999999999</v>
      </c>
      <c r="K606" s="3">
        <v>2.081</v>
      </c>
      <c r="L606" s="3">
        <v>6.7249999999999996</v>
      </c>
      <c r="M606" s="3">
        <v>2.6589999999999998</v>
      </c>
    </row>
    <row r="607" spans="1:14">
      <c r="A607" t="s">
        <v>15</v>
      </c>
      <c r="C607" s="3">
        <v>2.69</v>
      </c>
      <c r="D607" s="3">
        <v>3.46</v>
      </c>
      <c r="E607" s="3">
        <v>2.73</v>
      </c>
      <c r="G607" s="3">
        <v>3.26</v>
      </c>
      <c r="H607" s="3">
        <v>2.36</v>
      </c>
      <c r="I607" s="3">
        <v>3.31</v>
      </c>
      <c r="K607" s="3">
        <v>2.92</v>
      </c>
      <c r="L607" s="3">
        <v>2.66</v>
      </c>
      <c r="M607" s="3">
        <v>3.05</v>
      </c>
    </row>
    <row r="608" spans="1:14">
      <c r="A608" t="s">
        <v>16</v>
      </c>
      <c r="C608" s="3">
        <f>C607/C606</f>
        <v>1.3257762444553969</v>
      </c>
      <c r="D608" s="3">
        <f>D607/D606</f>
        <v>0.54453887315077121</v>
      </c>
      <c r="E608" s="3">
        <f>E607/E606</f>
        <v>0.95521343596920916</v>
      </c>
      <c r="G608" s="3">
        <f>G607/G606</f>
        <v>0.90858416945373455</v>
      </c>
      <c r="H608" s="3">
        <f>H607/H606</f>
        <v>1.1028037383177569</v>
      </c>
      <c r="I608" s="3">
        <f>I607/I606</f>
        <v>0.84181078331637849</v>
      </c>
      <c r="K608" s="3">
        <f>K607/K606</f>
        <v>1.403171552138395</v>
      </c>
      <c r="L608" s="3">
        <f>L607/L606</f>
        <v>0.39553903345724911</v>
      </c>
      <c r="M608" s="3">
        <f>M607/M606</f>
        <v>1.1470477623166604</v>
      </c>
    </row>
    <row r="609" spans="1:14">
      <c r="A609" t="s">
        <v>17</v>
      </c>
      <c r="C609" s="3">
        <v>1</v>
      </c>
      <c r="D609" s="3">
        <v>0</v>
      </c>
      <c r="E609" s="3">
        <v>0</v>
      </c>
      <c r="G609" s="3">
        <v>0</v>
      </c>
      <c r="H609" s="3">
        <v>1</v>
      </c>
      <c r="I609" s="3">
        <v>0</v>
      </c>
      <c r="K609" s="3">
        <v>1</v>
      </c>
      <c r="L609" s="3">
        <v>0</v>
      </c>
      <c r="M609" s="3">
        <v>0</v>
      </c>
    </row>
    <row r="610" spans="1:14">
      <c r="A610" t="s">
        <v>18</v>
      </c>
      <c r="C610" s="3">
        <v>1</v>
      </c>
      <c r="D610" s="3">
        <v>0</v>
      </c>
      <c r="E610" s="3">
        <v>0</v>
      </c>
      <c r="G610" s="3">
        <v>1</v>
      </c>
      <c r="H610" s="3">
        <v>0</v>
      </c>
      <c r="I610" s="3">
        <v>0</v>
      </c>
      <c r="K610" s="3">
        <v>1</v>
      </c>
      <c r="L610" s="3">
        <v>0</v>
      </c>
      <c r="M610" s="3">
        <v>0</v>
      </c>
    </row>
    <row r="611" spans="1:14">
      <c r="A611" t="s">
        <v>19</v>
      </c>
      <c r="C611" s="3">
        <f>C607*C610*C609-C609</f>
        <v>1.69</v>
      </c>
      <c r="D611" s="3">
        <f>D607*D610*D609-D609</f>
        <v>0</v>
      </c>
      <c r="E611" s="3">
        <f>E607*E610*E609-E609</f>
        <v>0</v>
      </c>
      <c r="G611" s="3">
        <f>G607*G610*G609-G609</f>
        <v>0</v>
      </c>
      <c r="H611" s="3">
        <f>H607*H610*H609-H609</f>
        <v>-1</v>
      </c>
      <c r="I611" s="3">
        <f>I607*I610*I609-I609</f>
        <v>0</v>
      </c>
      <c r="K611" s="3">
        <f>K607*K610*K609-K609</f>
        <v>1.92</v>
      </c>
      <c r="L611" s="3">
        <f>L607*L610*L609-L609</f>
        <v>0</v>
      </c>
      <c r="M611" s="3">
        <f>M607*M610*M609-M609</f>
        <v>0</v>
      </c>
    </row>
    <row r="612" spans="1:14">
      <c r="N612" s="8">
        <f>(N604+N550+N478+N415+N352 + 34 * 3) / (34*3) - 1</f>
        <v>2.7156862745097987E-2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Absolute</vt:lpstr>
      <vt:lpstr>Relative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Valery Yafremau</cp:lastModifiedBy>
  <dcterms:created xsi:type="dcterms:W3CDTF">2025-06-18T05:25:16Z</dcterms:created>
  <dcterms:modified xsi:type="dcterms:W3CDTF">2025-06-21T06:27:52Z</dcterms:modified>
</cp:coreProperties>
</file>
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olute" sheetId="1" state="visible" r:id="rId1"/>
    <sheet name="Rel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69696"/>
      </patternFill>
    </fill>
    <fill>
      <patternFill patternType="solid">
        <f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A</t>
        </is>
      </c>
      <c r="C1" s="1" t="inlineStr">
        <is>
          <t>Win/Draw/Lose</t>
        </is>
      </c>
      <c r="E1" s="1">
        <f> 0+C8+D8+E8</f>
        <v/>
      </c>
      <c r="G1" s="1" t="inlineStr">
        <is>
          <t>1st half winner</t>
        </is>
      </c>
      <c r="I1" s="1">
        <f> 0+G8+H8+I8</f>
        <v/>
      </c>
      <c r="K1" s="1" t="inlineStr">
        <is>
          <t>2nd half winner</t>
        </is>
      </c>
      <c r="M1" s="1">
        <f> 0+K8+L8+M8</f>
        <v/>
      </c>
    </row>
    <row r="2">
      <c r="A2" t="inlineStr">
        <is>
          <t>Empoli - Lecce</t>
        </is>
      </c>
      <c r="C2" s="2" t="inlineStr">
        <is>
          <t>W1</t>
        </is>
      </c>
      <c r="D2" s="2" t="inlineStr">
        <is>
          <t>X</t>
        </is>
      </c>
      <c r="E2" s="2" t="inlineStr">
        <is>
          <t>W2</t>
        </is>
      </c>
      <c r="G2" s="2" t="inlineStr">
        <is>
          <t>1st half W1</t>
        </is>
      </c>
      <c r="H2" s="2" t="inlineStr">
        <is>
          <t>1st half X</t>
        </is>
      </c>
      <c r="I2" s="2" t="inlineStr">
        <is>
          <t>1st half W2</t>
        </is>
      </c>
      <c r="K2" s="2" t="inlineStr">
        <is>
          <t>2st half W1</t>
        </is>
      </c>
      <c r="L2" s="2" t="inlineStr">
        <is>
          <t>2nd half X</t>
        </is>
      </c>
      <c r="M2" s="2" t="inlineStr">
        <is>
          <t>2nd half W2</t>
        </is>
      </c>
    </row>
    <row r="3">
      <c r="A3" t="inlineStr">
        <is>
          <t>App</t>
        </is>
      </c>
      <c r="C3" s="3" t="n">
        <v>4.385</v>
      </c>
      <c r="D3" s="3" t="n">
        <v>8.221</v>
      </c>
      <c r="E3" s="3" t="n">
        <v>7.073</v>
      </c>
      <c r="G3" s="3" t="n">
        <v>7.401</v>
      </c>
      <c r="H3" s="3" t="n">
        <v>1.048</v>
      </c>
      <c r="I3" s="3" t="n">
        <v>8.859999999999999</v>
      </c>
      <c r="K3" s="3" t="n">
        <v>5.894</v>
      </c>
      <c r="L3" s="3" t="n">
        <v>3.863</v>
      </c>
      <c r="M3" s="3" t="n">
        <v>1.702</v>
      </c>
    </row>
    <row r="4">
      <c r="A4" t="inlineStr">
        <is>
          <t>Bookmaker</t>
        </is>
      </c>
      <c r="C4" s="3" t="n">
        <v>0</v>
      </c>
      <c r="D4" s="3" t="n">
        <v>0</v>
      </c>
      <c r="E4" s="3" t="n">
        <v>0</v>
      </c>
      <c r="G4" s="3" t="n">
        <v>0</v>
      </c>
      <c r="H4" s="3" t="n">
        <v>0</v>
      </c>
      <c r="I4" s="3" t="n">
        <v>0</v>
      </c>
      <c r="K4" s="3" t="n">
        <v>0</v>
      </c>
      <c r="L4" s="3" t="n">
        <v>0</v>
      </c>
      <c r="M4" s="3" t="n">
        <v>0</v>
      </c>
    </row>
    <row r="5">
      <c r="A5" t="inlineStr">
        <is>
          <t>Expected payoff</t>
        </is>
      </c>
      <c r="C5" s="3">
        <f>C4/C3</f>
        <v/>
      </c>
      <c r="D5" s="3">
        <f>D4/D3</f>
        <v/>
      </c>
      <c r="E5" s="3">
        <f>E4/E3</f>
        <v/>
      </c>
      <c r="G5" s="3">
        <f>G4/G3</f>
        <v/>
      </c>
      <c r="H5" s="3">
        <f>H4/H3</f>
        <v/>
      </c>
      <c r="I5" s="3">
        <f>I4/I3</f>
        <v/>
      </c>
      <c r="K5" s="3">
        <f>K4/K3</f>
        <v/>
      </c>
      <c r="L5" s="3">
        <f>L4/L3</f>
        <v/>
      </c>
      <c r="M5" s="3">
        <f>M4/M3</f>
        <v/>
      </c>
    </row>
    <row r="6">
      <c r="A6" t="inlineStr">
        <is>
          <t>Bet</t>
        </is>
      </c>
      <c r="C6" s="3" t="n">
        <v>0</v>
      </c>
      <c r="D6" s="3" t="n">
        <v>0</v>
      </c>
      <c r="E6" s="3" t="n">
        <v>0</v>
      </c>
      <c r="G6" s="3" t="n">
        <v>0</v>
      </c>
      <c r="H6" s="3" t="n">
        <v>0</v>
      </c>
      <c r="I6" s="3" t="n">
        <v>0</v>
      </c>
      <c r="K6" s="3" t="n">
        <v>0</v>
      </c>
      <c r="L6" s="3" t="n">
        <v>0</v>
      </c>
      <c r="M6" s="3" t="n">
        <v>0</v>
      </c>
    </row>
    <row r="7">
      <c r="A7" t="inlineStr">
        <is>
          <t>Match result</t>
        </is>
      </c>
      <c r="C7" s="3" t="n">
        <v>0</v>
      </c>
      <c r="D7" s="3" t="n">
        <v>0</v>
      </c>
      <c r="E7" s="3" t="n">
        <v>0</v>
      </c>
      <c r="G7" s="3" t="n">
        <v>0</v>
      </c>
      <c r="H7" s="3" t="n">
        <v>0</v>
      </c>
      <c r="I7" s="3" t="n">
        <v>0</v>
      </c>
      <c r="K7" s="3" t="n">
        <v>0</v>
      </c>
      <c r="L7" s="3" t="n">
        <v>0</v>
      </c>
      <c r="M7" s="3" t="n">
        <v>0</v>
      </c>
    </row>
    <row r="8">
      <c r="A8" t="inlineStr">
        <is>
          <t>Income</t>
        </is>
      </c>
      <c r="C8" s="3">
        <f>C4*C7*C6-C6</f>
        <v/>
      </c>
      <c r="D8" s="3">
        <f>D4*D7*D6-D6</f>
        <v/>
      </c>
      <c r="E8" s="3">
        <f>E4*E7*E6-E6</f>
        <v/>
      </c>
      <c r="G8" s="3">
        <f>G4*G7*G6-G6</f>
        <v/>
      </c>
      <c r="H8" s="3">
        <f>H4*H7*H6-H6</f>
        <v/>
      </c>
      <c r="I8" s="3">
        <f>I4*I7*I6-I6</f>
        <v/>
      </c>
      <c r="K8" s="3">
        <f>K4*K7*K6-K6</f>
        <v/>
      </c>
      <c r="L8" s="3">
        <f>L4*L7*L6-L6</f>
        <v/>
      </c>
      <c r="M8" s="3">
        <f>M4*M7*M6-M6</f>
        <v/>
      </c>
    </row>
    <row r="10">
      <c r="A10" s="1" t="inlineStr">
        <is>
          <t>Serie A</t>
        </is>
      </c>
      <c r="C10" s="1" t="inlineStr">
        <is>
          <t>Win/Draw/Lose</t>
        </is>
      </c>
      <c r="E10" s="1">
        <f> 0+C17+D17+E17 + E1</f>
        <v/>
      </c>
      <c r="G10" s="1" t="inlineStr">
        <is>
          <t>1st half winner</t>
        </is>
      </c>
      <c r="I10" s="1">
        <f> 0+G17+H17+I17 + I1</f>
        <v/>
      </c>
      <c r="K10" s="1" t="inlineStr">
        <is>
          <t>2nd half winner</t>
        </is>
      </c>
      <c r="M10" s="1">
        <f> 0+K17+L17+M17 + M1</f>
        <v/>
      </c>
    </row>
    <row r="11">
      <c r="A11" t="inlineStr">
        <is>
          <t>Udinese - Atalanta</t>
        </is>
      </c>
      <c r="C11" s="2" t="inlineStr">
        <is>
          <t>W1</t>
        </is>
      </c>
      <c r="D11" s="2" t="inlineStr">
        <is>
          <t>X</t>
        </is>
      </c>
      <c r="E11" s="2" t="inlineStr">
        <is>
          <t>W2</t>
        </is>
      </c>
      <c r="G11" s="2" t="inlineStr">
        <is>
          <t>1st half W1</t>
        </is>
      </c>
      <c r="H11" s="2" t="inlineStr">
        <is>
          <t>1st half X</t>
        </is>
      </c>
      <c r="I11" s="2" t="inlineStr">
        <is>
          <t>1st half W2</t>
        </is>
      </c>
      <c r="K11" s="2" t="inlineStr">
        <is>
          <t>2st half W1</t>
        </is>
      </c>
      <c r="L11" s="2" t="inlineStr">
        <is>
          <t>2nd half X</t>
        </is>
      </c>
      <c r="M11" s="2" t="inlineStr">
        <is>
          <t>2nd half W2</t>
        </is>
      </c>
    </row>
    <row r="12">
      <c r="A12" t="inlineStr">
        <is>
          <t>App</t>
        </is>
      </c>
      <c r="C12" s="3" t="n">
        <v>11.094</v>
      </c>
      <c r="D12" s="3" t="n">
        <v>2.169</v>
      </c>
      <c r="E12" s="3" t="n">
        <v>5.125</v>
      </c>
      <c r="G12" s="3" t="n">
        <v>4.666</v>
      </c>
      <c r="H12" s="3" t="n">
        <v>2.195</v>
      </c>
      <c r="I12" s="3" t="n">
        <v>1.954</v>
      </c>
      <c r="K12" s="3" t="n">
        <v>11.672</v>
      </c>
      <c r="L12" s="3" t="n">
        <v>4.547</v>
      </c>
      <c r="M12" s="3" t="n">
        <v>2.856</v>
      </c>
    </row>
    <row r="13">
      <c r="A13" t="inlineStr">
        <is>
          <t>Bookmaker</t>
        </is>
      </c>
      <c r="C13" s="3" t="n">
        <v>0</v>
      </c>
      <c r="D13" s="3" t="n">
        <v>0</v>
      </c>
      <c r="E13" s="3" t="n">
        <v>0</v>
      </c>
      <c r="G13" s="3" t="n">
        <v>0</v>
      </c>
      <c r="H13" s="3" t="n">
        <v>0</v>
      </c>
      <c r="I13" s="3" t="n">
        <v>0</v>
      </c>
      <c r="K13" s="3" t="n">
        <v>0</v>
      </c>
      <c r="L13" s="3" t="n">
        <v>0</v>
      </c>
      <c r="M13" s="3" t="n">
        <v>0</v>
      </c>
    </row>
    <row r="14">
      <c r="A14" t="inlineStr">
        <is>
          <t>Expected payoff</t>
        </is>
      </c>
      <c r="C14" s="3">
        <f>C13/C12</f>
        <v/>
      </c>
      <c r="D14" s="3">
        <f>D13/D12</f>
        <v/>
      </c>
      <c r="E14" s="3">
        <f>E13/E12</f>
        <v/>
      </c>
      <c r="G14" s="3">
        <f>G13/G12</f>
        <v/>
      </c>
      <c r="H14" s="3">
        <f>H13/H12</f>
        <v/>
      </c>
      <c r="I14" s="3">
        <f>I13/I12</f>
        <v/>
      </c>
      <c r="K14" s="3">
        <f>K13/K12</f>
        <v/>
      </c>
      <c r="L14" s="3">
        <f>L13/L12</f>
        <v/>
      </c>
      <c r="M14" s="3">
        <f>M13/M12</f>
        <v/>
      </c>
    </row>
    <row r="15">
      <c r="A15" t="inlineStr">
        <is>
          <t>Bet</t>
        </is>
      </c>
      <c r="C15" s="3" t="n">
        <v>0</v>
      </c>
      <c r="D15" s="3" t="n">
        <v>0</v>
      </c>
      <c r="E15" s="3" t="n">
        <v>0</v>
      </c>
      <c r="G15" s="3" t="n">
        <v>0</v>
      </c>
      <c r="H15" s="3" t="n">
        <v>0</v>
      </c>
      <c r="I15" s="3" t="n">
        <v>0</v>
      </c>
      <c r="K15" s="3" t="n">
        <v>0</v>
      </c>
      <c r="L15" s="3" t="n">
        <v>0</v>
      </c>
      <c r="M15" s="3" t="n">
        <v>0</v>
      </c>
    </row>
    <row r="16">
      <c r="A16" t="inlineStr">
        <is>
          <t>Match result</t>
        </is>
      </c>
      <c r="C16" s="3" t="n">
        <v>0</v>
      </c>
      <c r="D16" s="3" t="n">
        <v>0</v>
      </c>
      <c r="E16" s="3" t="n">
        <v>0</v>
      </c>
      <c r="G16" s="3" t="n">
        <v>0</v>
      </c>
      <c r="H16" s="3" t="n">
        <v>0</v>
      </c>
      <c r="I16" s="3" t="n">
        <v>0</v>
      </c>
      <c r="K16" s="3" t="n">
        <v>0</v>
      </c>
      <c r="L16" s="3" t="n">
        <v>0</v>
      </c>
      <c r="M16" s="3" t="n">
        <v>0</v>
      </c>
    </row>
    <row r="17">
      <c r="A17" t="inlineStr">
        <is>
          <t>Income</t>
        </is>
      </c>
      <c r="C17" s="3">
        <f>C13*C16*C15-C15</f>
        <v/>
      </c>
      <c r="D17" s="3">
        <f>D13*D16*D15-D15</f>
        <v/>
      </c>
      <c r="E17" s="3">
        <f>E13*E16*E15-E15</f>
        <v/>
      </c>
      <c r="G17" s="3">
        <f>G13*G16*G15-G15</f>
        <v/>
      </c>
      <c r="H17" s="3">
        <f>H13*H16*H15-H15</f>
        <v/>
      </c>
      <c r="I17" s="3">
        <f>I13*I16*I15-I15</f>
        <v/>
      </c>
      <c r="K17" s="3">
        <f>K13*K16*K15-K15</f>
        <v/>
      </c>
      <c r="L17" s="3">
        <f>L13*L16*L15-L15</f>
        <v/>
      </c>
      <c r="M17" s="3">
        <f>M13*M16*M15-M15</f>
        <v/>
      </c>
    </row>
    <row r="19">
      <c r="A19" s="1" t="inlineStr">
        <is>
          <t>Serie A</t>
        </is>
      </c>
      <c r="C19" s="1" t="inlineStr">
        <is>
          <t>Win/Draw/Lose</t>
        </is>
      </c>
      <c r="E19" s="1">
        <f> 0+C26+D26+E26 + E10</f>
        <v/>
      </c>
      <c r="G19" s="1" t="inlineStr">
        <is>
          <t>1st half winner</t>
        </is>
      </c>
      <c r="I19" s="1">
        <f> 0+G26+H26+I26 + I10</f>
        <v/>
      </c>
      <c r="K19" s="1" t="inlineStr">
        <is>
          <t>2nd half winner</t>
        </is>
      </c>
      <c r="M19" s="1">
        <f> 0+K26+L26+M26 + M10</f>
        <v/>
      </c>
    </row>
    <row r="20">
      <c r="A20" t="inlineStr">
        <is>
          <t>Torino - Juventus</t>
        </is>
      </c>
      <c r="C20" s="2" t="inlineStr">
        <is>
          <t>W1</t>
        </is>
      </c>
      <c r="D20" s="2" t="inlineStr">
        <is>
          <t>X</t>
        </is>
      </c>
      <c r="E20" s="2" t="inlineStr">
        <is>
          <t>W2</t>
        </is>
      </c>
      <c r="G20" s="2" t="inlineStr">
        <is>
          <t>1st half W1</t>
        </is>
      </c>
      <c r="H20" s="2" t="inlineStr">
        <is>
          <t>1st half X</t>
        </is>
      </c>
      <c r="I20" s="2" t="inlineStr">
        <is>
          <t>1st half W2</t>
        </is>
      </c>
      <c r="K20" s="2" t="inlineStr">
        <is>
          <t>2st half W1</t>
        </is>
      </c>
      <c r="L20" s="2" t="inlineStr">
        <is>
          <t>2nd half X</t>
        </is>
      </c>
      <c r="M20" s="2" t="inlineStr">
        <is>
          <t>2nd half W2</t>
        </is>
      </c>
    </row>
    <row r="21">
      <c r="A21" t="inlineStr">
        <is>
          <t>App</t>
        </is>
      </c>
      <c r="C21" s="3" t="n">
        <v>11.569</v>
      </c>
      <c r="D21" s="3" t="n">
        <v>1.685</v>
      </c>
      <c r="E21" s="3" t="n">
        <v>1.779</v>
      </c>
      <c r="G21" s="3" t="n">
        <v>13.474</v>
      </c>
      <c r="H21" s="3" t="n">
        <v>1.411</v>
      </c>
      <c r="I21" s="3" t="n">
        <v>6.453</v>
      </c>
      <c r="K21" s="3" t="n">
        <v>4.23</v>
      </c>
      <c r="L21" s="3" t="n">
        <v>1.314</v>
      </c>
      <c r="M21" s="3" t="n">
        <v>1.924</v>
      </c>
    </row>
    <row r="22">
      <c r="A22" t="inlineStr">
        <is>
          <t>Bookmaker</t>
        </is>
      </c>
      <c r="C22" s="3" t="n">
        <v>0</v>
      </c>
      <c r="D22" s="3" t="n">
        <v>0</v>
      </c>
      <c r="E22" s="3" t="n">
        <v>0</v>
      </c>
      <c r="G22" s="3" t="n">
        <v>0</v>
      </c>
      <c r="H22" s="3" t="n">
        <v>0</v>
      </c>
      <c r="I22" s="3" t="n">
        <v>0</v>
      </c>
      <c r="K22" s="3" t="n">
        <v>0</v>
      </c>
      <c r="L22" s="3" t="n">
        <v>0</v>
      </c>
      <c r="M22" s="3" t="n">
        <v>0</v>
      </c>
    </row>
    <row r="23">
      <c r="A23" t="inlineStr">
        <is>
          <t>Expected payoff</t>
        </is>
      </c>
      <c r="C23" s="3">
        <f>C22/C21</f>
        <v/>
      </c>
      <c r="D23" s="3">
        <f>D22/D21</f>
        <v/>
      </c>
      <c r="E23" s="3">
        <f>E22/E21</f>
        <v/>
      </c>
      <c r="G23" s="3">
        <f>G22/G21</f>
        <v/>
      </c>
      <c r="H23" s="3">
        <f>H22/H21</f>
        <v/>
      </c>
      <c r="I23" s="3">
        <f>I22/I21</f>
        <v/>
      </c>
      <c r="K23" s="3">
        <f>K22/K21</f>
        <v/>
      </c>
      <c r="L23" s="3">
        <f>L22/L21</f>
        <v/>
      </c>
      <c r="M23" s="3">
        <f>M22/M21</f>
        <v/>
      </c>
    </row>
    <row r="24">
      <c r="A24" t="inlineStr">
        <is>
          <t>Bet</t>
        </is>
      </c>
      <c r="C24" s="3" t="n">
        <v>0</v>
      </c>
      <c r="D24" s="3" t="n">
        <v>0</v>
      </c>
      <c r="E24" s="3" t="n">
        <v>0</v>
      </c>
      <c r="G24" s="3" t="n">
        <v>0</v>
      </c>
      <c r="H24" s="3" t="n">
        <v>0</v>
      </c>
      <c r="I24" s="3" t="n">
        <v>0</v>
      </c>
      <c r="K24" s="3" t="n">
        <v>0</v>
      </c>
      <c r="L24" s="3" t="n">
        <v>0</v>
      </c>
      <c r="M24" s="3" t="n">
        <v>0</v>
      </c>
    </row>
    <row r="25">
      <c r="A25" t="inlineStr">
        <is>
          <t>Match result</t>
        </is>
      </c>
      <c r="C25" s="3" t="n">
        <v>0</v>
      </c>
      <c r="D25" s="3" t="n">
        <v>0</v>
      </c>
      <c r="E25" s="3" t="n">
        <v>0</v>
      </c>
      <c r="G25" s="3" t="n">
        <v>0</v>
      </c>
      <c r="H25" s="3" t="n">
        <v>0</v>
      </c>
      <c r="I25" s="3" t="n">
        <v>0</v>
      </c>
      <c r="K25" s="3" t="n">
        <v>0</v>
      </c>
      <c r="L25" s="3" t="n">
        <v>0</v>
      </c>
      <c r="M25" s="3" t="n">
        <v>0</v>
      </c>
    </row>
    <row r="26">
      <c r="A26" t="inlineStr">
        <is>
          <t>Income</t>
        </is>
      </c>
      <c r="C26" s="3">
        <f>C22*C25*C24-C24</f>
        <v/>
      </c>
      <c r="D26" s="3">
        <f>D22*D25*D24-D24</f>
        <v/>
      </c>
      <c r="E26" s="3">
        <f>E22*E25*E24-E24</f>
        <v/>
      </c>
      <c r="G26" s="3">
        <f>G22*G25*G24-G24</f>
        <v/>
      </c>
      <c r="H26" s="3">
        <f>H22*H25*H24-H24</f>
        <v/>
      </c>
      <c r="I26" s="3">
        <f>I22*I25*I24-I24</f>
        <v/>
      </c>
      <c r="K26" s="3">
        <f>K22*K25*K24-K24</f>
        <v/>
      </c>
      <c r="L26" s="3">
        <f>L22*L25*L24-L24</f>
        <v/>
      </c>
      <c r="M26" s="3">
        <f>M22*M25*M24-M24</f>
        <v/>
      </c>
    </row>
    <row r="28">
      <c r="A28" s="1" t="inlineStr">
        <is>
          <t>Serie A</t>
        </is>
      </c>
      <c r="C28" s="1" t="inlineStr">
        <is>
          <t>Win/Draw/Lose</t>
        </is>
      </c>
      <c r="E28" s="1">
        <f> 0+C35+D35+E35 + E19</f>
        <v/>
      </c>
      <c r="G28" s="1" t="inlineStr">
        <is>
          <t>1st half winner</t>
        </is>
      </c>
      <c r="I28" s="1">
        <f> 0+G35+H35+I35 + I19</f>
        <v/>
      </c>
      <c r="K28" s="1" t="inlineStr">
        <is>
          <t>2nd half winner</t>
        </is>
      </c>
      <c r="M28" s="1">
        <f> 0+K35+L35+M35 + M19</f>
        <v/>
      </c>
    </row>
    <row r="29">
      <c r="A29" t="inlineStr">
        <is>
          <t>AC Milan - Cagliari</t>
        </is>
      </c>
      <c r="C29" s="2" t="inlineStr">
        <is>
          <t>W1</t>
        </is>
      </c>
      <c r="D29" s="2" t="inlineStr">
        <is>
          <t>X</t>
        </is>
      </c>
      <c r="E29" s="2" t="inlineStr">
        <is>
          <t>W2</t>
        </is>
      </c>
      <c r="G29" s="2" t="inlineStr">
        <is>
          <t>1st half W1</t>
        </is>
      </c>
      <c r="H29" s="2" t="inlineStr">
        <is>
          <t>1st half X</t>
        </is>
      </c>
      <c r="I29" s="2" t="inlineStr">
        <is>
          <t>1st half W2</t>
        </is>
      </c>
      <c r="K29" s="2" t="inlineStr">
        <is>
          <t>2st half W1</t>
        </is>
      </c>
      <c r="L29" s="2" t="inlineStr">
        <is>
          <t>2nd half X</t>
        </is>
      </c>
      <c r="M29" s="2" t="inlineStr">
        <is>
          <t>2nd half W2</t>
        </is>
      </c>
    </row>
    <row r="30">
      <c r="A30" t="inlineStr">
        <is>
          <t>App</t>
        </is>
      </c>
      <c r="C30" s="3" t="n">
        <v>1.441</v>
      </c>
      <c r="D30" s="3" t="n">
        <v>5.941</v>
      </c>
      <c r="E30" s="3" t="n">
        <v>5.956</v>
      </c>
      <c r="G30" s="3" t="n">
        <v>11.262</v>
      </c>
      <c r="H30" s="3" t="n">
        <v>2.052</v>
      </c>
      <c r="I30" s="3" t="n">
        <v>7.791</v>
      </c>
      <c r="K30" s="3" t="n">
        <v>2.024</v>
      </c>
      <c r="L30" s="3" t="n">
        <v>2.389</v>
      </c>
      <c r="M30" s="3" t="n">
        <v>8.606</v>
      </c>
    </row>
    <row r="31">
      <c r="A31" t="inlineStr">
        <is>
          <t>Bookmaker</t>
        </is>
      </c>
      <c r="C31" s="3" t="n">
        <v>0</v>
      </c>
      <c r="D31" s="3" t="n">
        <v>0</v>
      </c>
      <c r="E31" s="3" t="n">
        <v>0</v>
      </c>
      <c r="G31" s="3" t="n">
        <v>0</v>
      </c>
      <c r="H31" s="3" t="n">
        <v>0</v>
      </c>
      <c r="I31" s="3" t="n">
        <v>0</v>
      </c>
      <c r="K31" s="3" t="n">
        <v>0</v>
      </c>
      <c r="L31" s="3" t="n">
        <v>0</v>
      </c>
      <c r="M31" s="3" t="n">
        <v>0</v>
      </c>
    </row>
    <row r="32">
      <c r="A32" t="inlineStr">
        <is>
          <t>Expected payoff</t>
        </is>
      </c>
      <c r="C32" s="3">
        <f>C31/C30</f>
        <v/>
      </c>
      <c r="D32" s="3">
        <f>D31/D30</f>
        <v/>
      </c>
      <c r="E32" s="3">
        <f>E31/E30</f>
        <v/>
      </c>
      <c r="G32" s="3">
        <f>G31/G30</f>
        <v/>
      </c>
      <c r="H32" s="3">
        <f>H31/H30</f>
        <v/>
      </c>
      <c r="I32" s="3">
        <f>I31/I30</f>
        <v/>
      </c>
      <c r="K32" s="3">
        <f>K31/K30</f>
        <v/>
      </c>
      <c r="L32" s="3">
        <f>L31/L30</f>
        <v/>
      </c>
      <c r="M32" s="3">
        <f>M31/M30</f>
        <v/>
      </c>
    </row>
    <row r="33">
      <c r="A33" t="inlineStr">
        <is>
          <t>Bet</t>
        </is>
      </c>
      <c r="C33" s="3" t="n">
        <v>0</v>
      </c>
      <c r="D33" s="3" t="n">
        <v>0</v>
      </c>
      <c r="E33" s="3" t="n">
        <v>0</v>
      </c>
      <c r="G33" s="3" t="n">
        <v>0</v>
      </c>
      <c r="H33" s="3" t="n">
        <v>0</v>
      </c>
      <c r="I33" s="3" t="n">
        <v>0</v>
      </c>
      <c r="K33" s="3" t="n">
        <v>0</v>
      </c>
      <c r="L33" s="3" t="n">
        <v>0</v>
      </c>
      <c r="M33" s="3" t="n">
        <v>0</v>
      </c>
    </row>
    <row r="34">
      <c r="A34" t="inlineStr">
        <is>
          <t>Match result</t>
        </is>
      </c>
      <c r="C34" s="3" t="n">
        <v>0</v>
      </c>
      <c r="D34" s="3" t="n">
        <v>0</v>
      </c>
      <c r="E34" s="3" t="n">
        <v>0</v>
      </c>
      <c r="G34" s="3" t="n">
        <v>0</v>
      </c>
      <c r="H34" s="3" t="n">
        <v>0</v>
      </c>
      <c r="I34" s="3" t="n">
        <v>0</v>
      </c>
      <c r="K34" s="3" t="n">
        <v>0</v>
      </c>
      <c r="L34" s="3" t="n">
        <v>0</v>
      </c>
      <c r="M34" s="3" t="n">
        <v>0</v>
      </c>
    </row>
    <row r="35">
      <c r="A35" t="inlineStr">
        <is>
          <t>Income</t>
        </is>
      </c>
      <c r="C35" s="3">
        <f>C31*C34*C33-C33</f>
        <v/>
      </c>
      <c r="D35" s="3">
        <f>D31*D34*D33-D33</f>
        <v/>
      </c>
      <c r="E35" s="3">
        <f>E31*E34*E33-E33</f>
        <v/>
      </c>
      <c r="G35" s="3">
        <f>G31*G34*G33-G33</f>
        <v/>
      </c>
      <c r="H35" s="3">
        <f>H31*H34*H33-H33</f>
        <v/>
      </c>
      <c r="I35" s="3">
        <f>I31*I34*I33-I33</f>
        <v/>
      </c>
      <c r="K35" s="3">
        <f>K31*K34*K33-K33</f>
        <v/>
      </c>
      <c r="L35" s="3">
        <f>L31*L34*L33-L33</f>
        <v/>
      </c>
      <c r="M35" s="3">
        <f>M31*M34*M33-M33</f>
        <v/>
      </c>
    </row>
    <row r="37">
      <c r="A37" s="1" t="inlineStr">
        <is>
          <t>Serie A</t>
        </is>
      </c>
      <c r="C37" s="1" t="inlineStr">
        <is>
          <t>Win/Draw/Lose</t>
        </is>
      </c>
      <c r="E37" s="1">
        <f> 0+C44+D44+E44 + E28</f>
        <v/>
      </c>
      <c r="G37" s="1" t="inlineStr">
        <is>
          <t>1st half winner</t>
        </is>
      </c>
      <c r="I37" s="1">
        <f> 0+G44+H44+I44 + I28</f>
        <v/>
      </c>
      <c r="K37" s="1" t="inlineStr">
        <is>
          <t>2nd half winner</t>
        </is>
      </c>
      <c r="M37" s="1">
        <f> 0+K44+L44+M44 + M28</f>
        <v/>
      </c>
    </row>
    <row r="38">
      <c r="A38" t="inlineStr">
        <is>
          <t>Bologna - AS Roma</t>
        </is>
      </c>
      <c r="C38" s="2" t="inlineStr">
        <is>
          <t>W1</t>
        </is>
      </c>
      <c r="D38" s="2" t="inlineStr">
        <is>
          <t>X</t>
        </is>
      </c>
      <c r="E38" s="2" t="inlineStr">
        <is>
          <t>W2</t>
        </is>
      </c>
      <c r="G38" s="2" t="inlineStr">
        <is>
          <t>1st half W1</t>
        </is>
      </c>
      <c r="H38" s="2" t="inlineStr">
        <is>
          <t>1st half X</t>
        </is>
      </c>
      <c r="I38" s="2" t="inlineStr">
        <is>
          <t>1st half W2</t>
        </is>
      </c>
      <c r="K38" s="2" t="inlineStr">
        <is>
          <t>2st half W1</t>
        </is>
      </c>
      <c r="L38" s="2" t="inlineStr">
        <is>
          <t>2nd half X</t>
        </is>
      </c>
      <c r="M38" s="2" t="inlineStr">
        <is>
          <t>2nd half W2</t>
        </is>
      </c>
    </row>
    <row r="39">
      <c r="A39" t="inlineStr">
        <is>
          <t>App</t>
        </is>
      </c>
      <c r="C39" s="3" t="n">
        <v>4.163</v>
      </c>
      <c r="D39" s="3" t="n">
        <v>2.934</v>
      </c>
      <c r="E39" s="3" t="n">
        <v>9.462999999999999</v>
      </c>
      <c r="G39" s="3" t="n">
        <v>5.052</v>
      </c>
      <c r="H39" s="3" t="n">
        <v>2.652</v>
      </c>
      <c r="I39" s="3" t="n">
        <v>1.47</v>
      </c>
      <c r="K39" s="3" t="n">
        <v>2.466</v>
      </c>
      <c r="L39" s="3" t="n">
        <v>2.5</v>
      </c>
      <c r="M39" s="3" t="n">
        <v>5.777</v>
      </c>
    </row>
    <row r="40">
      <c r="A40" t="inlineStr">
        <is>
          <t>Bookmaker</t>
        </is>
      </c>
      <c r="C40" s="3" t="n">
        <v>0</v>
      </c>
      <c r="D40" s="3" t="n">
        <v>0</v>
      </c>
      <c r="E40" s="3" t="n">
        <v>0</v>
      </c>
      <c r="G40" s="3" t="n">
        <v>0</v>
      </c>
      <c r="H40" s="3" t="n">
        <v>0</v>
      </c>
      <c r="I40" s="3" t="n">
        <v>0</v>
      </c>
      <c r="K40" s="3" t="n">
        <v>0</v>
      </c>
      <c r="L40" s="3" t="n">
        <v>0</v>
      </c>
      <c r="M40" s="3" t="n">
        <v>0</v>
      </c>
    </row>
    <row r="41">
      <c r="A41" t="inlineStr">
        <is>
          <t>Expected payoff</t>
        </is>
      </c>
      <c r="C41" s="3">
        <f>C40/C39</f>
        <v/>
      </c>
      <c r="D41" s="3">
        <f>D40/D39</f>
        <v/>
      </c>
      <c r="E41" s="3">
        <f>E40/E39</f>
        <v/>
      </c>
      <c r="G41" s="3">
        <f>G40/G39</f>
        <v/>
      </c>
      <c r="H41" s="3">
        <f>H40/H39</f>
        <v/>
      </c>
      <c r="I41" s="3">
        <f>I40/I39</f>
        <v/>
      </c>
      <c r="K41" s="3">
        <f>K40/K39</f>
        <v/>
      </c>
      <c r="L41" s="3">
        <f>L40/L39</f>
        <v/>
      </c>
      <c r="M41" s="3">
        <f>M40/M39</f>
        <v/>
      </c>
    </row>
    <row r="42">
      <c r="A42" t="inlineStr">
        <is>
          <t>Bet</t>
        </is>
      </c>
      <c r="C42" s="3" t="n">
        <v>0</v>
      </c>
      <c r="D42" s="3" t="n">
        <v>0</v>
      </c>
      <c r="E42" s="3" t="n">
        <v>0</v>
      </c>
      <c r="G42" s="3" t="n">
        <v>0</v>
      </c>
      <c r="H42" s="3" t="n">
        <v>0</v>
      </c>
      <c r="I42" s="3" t="n">
        <v>0</v>
      </c>
      <c r="K42" s="3" t="n">
        <v>0</v>
      </c>
      <c r="L42" s="3" t="n">
        <v>0</v>
      </c>
      <c r="M42" s="3" t="n">
        <v>0</v>
      </c>
    </row>
    <row r="43">
      <c r="A43" t="inlineStr">
        <is>
          <t>Match result</t>
        </is>
      </c>
      <c r="C43" s="3" t="n">
        <v>0</v>
      </c>
      <c r="D43" s="3" t="n">
        <v>0</v>
      </c>
      <c r="E43" s="3" t="n">
        <v>0</v>
      </c>
      <c r="G43" s="3" t="n">
        <v>0</v>
      </c>
      <c r="H43" s="3" t="n">
        <v>0</v>
      </c>
      <c r="I43" s="3" t="n">
        <v>0</v>
      </c>
      <c r="K43" s="3" t="n">
        <v>0</v>
      </c>
      <c r="L43" s="3" t="n">
        <v>0</v>
      </c>
      <c r="M43" s="3" t="n">
        <v>0</v>
      </c>
    </row>
    <row r="44">
      <c r="A44" t="inlineStr">
        <is>
          <t>Income</t>
        </is>
      </c>
      <c r="C44" s="3">
        <f>C40*C43*C42-C42</f>
        <v/>
      </c>
      <c r="D44" s="3">
        <f>D40*D43*D42-D42</f>
        <v/>
      </c>
      <c r="E44" s="3">
        <f>E40*E43*E42-E42</f>
        <v/>
      </c>
      <c r="G44" s="3">
        <f>G40*G43*G42-G42</f>
        <v/>
      </c>
      <c r="H44" s="3">
        <f>H40*H43*H42-H42</f>
        <v/>
      </c>
      <c r="I44" s="3">
        <f>I40*I43*I42-I42</f>
        <v/>
      </c>
      <c r="K44" s="3">
        <f>K40*K43*K42-K42</f>
        <v/>
      </c>
      <c r="L44" s="3">
        <f>L40*L43*L42-L42</f>
        <v/>
      </c>
      <c r="M44" s="3">
        <f>M40*M43*M42-M42</f>
        <v/>
      </c>
    </row>
    <row r="46">
      <c r="A46" s="1" t="inlineStr">
        <is>
          <t>Serie A</t>
        </is>
      </c>
      <c r="C46" s="1" t="inlineStr">
        <is>
          <t>Win/Draw/Lose</t>
        </is>
      </c>
      <c r="E46" s="1">
        <f> 0+C53+D53+E53 + E37</f>
        <v/>
      </c>
      <c r="G46" s="1" t="inlineStr">
        <is>
          <t>1st half winner</t>
        </is>
      </c>
      <c r="I46" s="1">
        <f> 0+G53+H53+I53 + I37</f>
        <v/>
      </c>
      <c r="K46" s="1" t="inlineStr">
        <is>
          <t>2nd half winner</t>
        </is>
      </c>
      <c r="M46" s="1">
        <f> 0+K53+L53+M53 + M37</f>
        <v/>
      </c>
    </row>
    <row r="47">
      <c r="A47" t="inlineStr">
        <is>
          <t>Napoli - Verona</t>
        </is>
      </c>
      <c r="C47" s="2" t="inlineStr">
        <is>
          <t>W1</t>
        </is>
      </c>
      <c r="D47" s="2" t="inlineStr">
        <is>
          <t>X</t>
        </is>
      </c>
      <c r="E47" s="2" t="inlineStr">
        <is>
          <t>W2</t>
        </is>
      </c>
      <c r="G47" s="2" t="inlineStr">
        <is>
          <t>1st half W1</t>
        </is>
      </c>
      <c r="H47" s="2" t="inlineStr">
        <is>
          <t>1st half X</t>
        </is>
      </c>
      <c r="I47" s="2" t="inlineStr">
        <is>
          <t>1st half W2</t>
        </is>
      </c>
      <c r="K47" s="2" t="inlineStr">
        <is>
          <t>2st half W1</t>
        </is>
      </c>
      <c r="L47" s="2" t="inlineStr">
        <is>
          <t>2nd half X</t>
        </is>
      </c>
      <c r="M47" s="2" t="inlineStr">
        <is>
          <t>2nd half W2</t>
        </is>
      </c>
    </row>
    <row r="48">
      <c r="A48" t="inlineStr">
        <is>
          <t>App</t>
        </is>
      </c>
      <c r="C48" s="3" t="n">
        <v>2.132</v>
      </c>
      <c r="D48" s="3" t="n">
        <v>13.657</v>
      </c>
      <c r="E48" s="3" t="n">
        <v>39.706</v>
      </c>
      <c r="G48" s="3" t="n">
        <v>1.491</v>
      </c>
      <c r="H48" s="3" t="n">
        <v>2.787</v>
      </c>
      <c r="I48" s="3" t="n">
        <v>11.088</v>
      </c>
      <c r="K48" s="3" t="n">
        <v>2.255</v>
      </c>
      <c r="L48" s="3" t="n">
        <v>7.816</v>
      </c>
      <c r="M48" s="3" t="n">
        <v>10.039</v>
      </c>
    </row>
    <row r="49">
      <c r="A49" t="inlineStr">
        <is>
          <t>Bookmaker</t>
        </is>
      </c>
      <c r="C49" s="3" t="n">
        <v>0</v>
      </c>
      <c r="D49" s="3" t="n">
        <v>0</v>
      </c>
      <c r="E49" s="3" t="n">
        <v>0</v>
      </c>
      <c r="G49" s="3" t="n">
        <v>0</v>
      </c>
      <c r="H49" s="3" t="n">
        <v>0</v>
      </c>
      <c r="I49" s="3" t="n">
        <v>0</v>
      </c>
      <c r="K49" s="3" t="n">
        <v>0</v>
      </c>
      <c r="L49" s="3" t="n">
        <v>0</v>
      </c>
      <c r="M49" s="3" t="n">
        <v>0</v>
      </c>
    </row>
    <row r="50">
      <c r="A50" t="inlineStr">
        <is>
          <t>Expected payoff</t>
        </is>
      </c>
      <c r="C50" s="3">
        <f>C49/C48</f>
        <v/>
      </c>
      <c r="D50" s="3">
        <f>D49/D48</f>
        <v/>
      </c>
      <c r="E50" s="3">
        <f>E49/E48</f>
        <v/>
      </c>
      <c r="G50" s="3">
        <f>G49/G48</f>
        <v/>
      </c>
      <c r="H50" s="3">
        <f>H49/H48</f>
        <v/>
      </c>
      <c r="I50" s="3">
        <f>I49/I48</f>
        <v/>
      </c>
      <c r="K50" s="3">
        <f>K49/K48</f>
        <v/>
      </c>
      <c r="L50" s="3">
        <f>L49/L48</f>
        <v/>
      </c>
      <c r="M50" s="3">
        <f>M49/M48</f>
        <v/>
      </c>
    </row>
    <row r="51">
      <c r="A51" t="inlineStr">
        <is>
          <t>Bet</t>
        </is>
      </c>
      <c r="C51" s="3" t="n">
        <v>0</v>
      </c>
      <c r="D51" s="3" t="n">
        <v>0</v>
      </c>
      <c r="E51" s="3" t="n">
        <v>0</v>
      </c>
      <c r="G51" s="3" t="n">
        <v>0</v>
      </c>
      <c r="H51" s="3" t="n">
        <v>0</v>
      </c>
      <c r="I51" s="3" t="n">
        <v>0</v>
      </c>
      <c r="K51" s="3" t="n">
        <v>0</v>
      </c>
      <c r="L51" s="3" t="n">
        <v>0</v>
      </c>
      <c r="M51" s="3" t="n">
        <v>0</v>
      </c>
    </row>
    <row r="52">
      <c r="A52" t="inlineStr">
        <is>
          <t>Match result</t>
        </is>
      </c>
      <c r="C52" s="3" t="n">
        <v>0</v>
      </c>
      <c r="D52" s="3" t="n">
        <v>0</v>
      </c>
      <c r="E52" s="3" t="n">
        <v>0</v>
      </c>
      <c r="G52" s="3" t="n">
        <v>0</v>
      </c>
      <c r="H52" s="3" t="n">
        <v>0</v>
      </c>
      <c r="I52" s="3" t="n">
        <v>0</v>
      </c>
      <c r="K52" s="3" t="n">
        <v>0</v>
      </c>
      <c r="L52" s="3" t="n">
        <v>0</v>
      </c>
      <c r="M52" s="3" t="n">
        <v>0</v>
      </c>
    </row>
    <row r="53">
      <c r="A53" t="inlineStr">
        <is>
          <t>Income</t>
        </is>
      </c>
      <c r="C53" s="3">
        <f>C49*C52*C51-C51</f>
        <v/>
      </c>
      <c r="D53" s="3">
        <f>D49*D52*D51-D51</f>
        <v/>
      </c>
      <c r="E53" s="3">
        <f>E49*E52*E51-E51</f>
        <v/>
      </c>
      <c r="G53" s="3">
        <f>G49*G52*G51-G51</f>
        <v/>
      </c>
      <c r="H53" s="3">
        <f>H49*H52*H51-H51</f>
        <v/>
      </c>
      <c r="I53" s="3">
        <f>I49*I52*I51-I51</f>
        <v/>
      </c>
      <c r="K53" s="3">
        <f>K49*K52*K51-K51</f>
        <v/>
      </c>
      <c r="L53" s="3">
        <f>L49*L52*L51-L51</f>
        <v/>
      </c>
      <c r="M53" s="3">
        <f>M49*M52*M51-M51</f>
        <v/>
      </c>
    </row>
    <row r="55">
      <c r="A55" s="1" t="inlineStr">
        <is>
          <t>Serie A</t>
        </is>
      </c>
      <c r="C55" s="1" t="inlineStr">
        <is>
          <t>Win/Draw/Lose</t>
        </is>
      </c>
      <c r="E55" s="1">
        <f> 0+C62+D62+E62 + E46</f>
        <v/>
      </c>
      <c r="G55" s="1" t="inlineStr">
        <is>
          <t>1st half winner</t>
        </is>
      </c>
      <c r="I55" s="1">
        <f> 0+G62+H62+I62 + I46</f>
        <v/>
      </c>
      <c r="K55" s="1" t="inlineStr">
        <is>
          <t>2nd half winner</t>
        </is>
      </c>
      <c r="M55" s="1">
        <f> 0+K62+L62+M62 + M46</f>
        <v/>
      </c>
    </row>
    <row r="56">
      <c r="A56" t="inlineStr">
        <is>
          <t>Monza - Fiorentina</t>
        </is>
      </c>
      <c r="C56" s="2" t="inlineStr">
        <is>
          <t>W1</t>
        </is>
      </c>
      <c r="D56" s="2" t="inlineStr">
        <is>
          <t>X</t>
        </is>
      </c>
      <c r="E56" s="2" t="inlineStr">
        <is>
          <t>W2</t>
        </is>
      </c>
      <c r="G56" s="2" t="inlineStr">
        <is>
          <t>1st half W1</t>
        </is>
      </c>
      <c r="H56" s="2" t="inlineStr">
        <is>
          <t>1st half X</t>
        </is>
      </c>
      <c r="I56" s="2" t="inlineStr">
        <is>
          <t>1st half W2</t>
        </is>
      </c>
      <c r="K56" s="2" t="inlineStr">
        <is>
          <t>2st half W1</t>
        </is>
      </c>
      <c r="L56" s="2" t="inlineStr">
        <is>
          <t>2nd half X</t>
        </is>
      </c>
      <c r="M56" s="2" t="inlineStr">
        <is>
          <t>2nd half W2</t>
        </is>
      </c>
    </row>
    <row r="57">
      <c r="A57" t="inlineStr">
        <is>
          <t>App</t>
        </is>
      </c>
      <c r="C57" s="3" t="n">
        <v>9.946</v>
      </c>
      <c r="D57" s="3" t="n">
        <v>9.239000000000001</v>
      </c>
      <c r="E57" s="3" t="n">
        <v>1.201</v>
      </c>
      <c r="G57" s="3" t="n">
        <v>11.359</v>
      </c>
      <c r="H57" s="3" t="n">
        <v>4.487</v>
      </c>
      <c r="I57" s="3" t="n">
        <v>2.926</v>
      </c>
      <c r="K57" s="3" t="n">
        <v>13.178</v>
      </c>
      <c r="L57" s="3" t="n">
        <v>2.101</v>
      </c>
      <c r="M57" s="3" t="n">
        <v>2.066</v>
      </c>
    </row>
    <row r="58">
      <c r="A58" t="inlineStr">
        <is>
          <t>Bookmaker</t>
        </is>
      </c>
      <c r="C58" s="3" t="n">
        <v>0</v>
      </c>
      <c r="D58" s="3" t="n">
        <v>0</v>
      </c>
      <c r="E58" s="3" t="n">
        <v>0</v>
      </c>
      <c r="G58" s="3" t="n">
        <v>0</v>
      </c>
      <c r="H58" s="3" t="n">
        <v>0</v>
      </c>
      <c r="I58" s="3" t="n">
        <v>0</v>
      </c>
      <c r="K58" s="3" t="n">
        <v>0</v>
      </c>
      <c r="L58" s="3" t="n">
        <v>0</v>
      </c>
      <c r="M58" s="3" t="n">
        <v>0</v>
      </c>
    </row>
    <row r="59">
      <c r="A59" t="inlineStr">
        <is>
          <t>Expected payoff</t>
        </is>
      </c>
      <c r="C59" s="3">
        <f>C58/C57</f>
        <v/>
      </c>
      <c r="D59" s="3">
        <f>D58/D57</f>
        <v/>
      </c>
      <c r="E59" s="3">
        <f>E58/E57</f>
        <v/>
      </c>
      <c r="G59" s="3">
        <f>G58/G57</f>
        <v/>
      </c>
      <c r="H59" s="3">
        <f>H58/H57</f>
        <v/>
      </c>
      <c r="I59" s="3">
        <f>I58/I57</f>
        <v/>
      </c>
      <c r="K59" s="3">
        <f>K58/K57</f>
        <v/>
      </c>
      <c r="L59" s="3">
        <f>L58/L57</f>
        <v/>
      </c>
      <c r="M59" s="3">
        <f>M58/M57</f>
        <v/>
      </c>
    </row>
    <row r="60">
      <c r="A60" t="inlineStr">
        <is>
          <t>Bet</t>
        </is>
      </c>
      <c r="C60" s="3" t="n">
        <v>0</v>
      </c>
      <c r="D60" s="3" t="n">
        <v>0</v>
      </c>
      <c r="E60" s="3" t="n">
        <v>0</v>
      </c>
      <c r="G60" s="3" t="n">
        <v>0</v>
      </c>
      <c r="H60" s="3" t="n">
        <v>0</v>
      </c>
      <c r="I60" s="3" t="n">
        <v>0</v>
      </c>
      <c r="K60" s="3" t="n">
        <v>0</v>
      </c>
      <c r="L60" s="3" t="n">
        <v>0</v>
      </c>
      <c r="M60" s="3" t="n">
        <v>0</v>
      </c>
    </row>
    <row r="61">
      <c r="A61" t="inlineStr">
        <is>
          <t>Match result</t>
        </is>
      </c>
      <c r="C61" s="3" t="n">
        <v>0</v>
      </c>
      <c r="D61" s="3" t="n">
        <v>0</v>
      </c>
      <c r="E61" s="3" t="n">
        <v>0</v>
      </c>
      <c r="G61" s="3" t="n">
        <v>0</v>
      </c>
      <c r="H61" s="3" t="n">
        <v>0</v>
      </c>
      <c r="I61" s="3" t="n">
        <v>0</v>
      </c>
      <c r="K61" s="3" t="n">
        <v>0</v>
      </c>
      <c r="L61" s="3" t="n">
        <v>0</v>
      </c>
      <c r="M61" s="3" t="n">
        <v>0</v>
      </c>
    </row>
    <row r="62">
      <c r="A62" t="inlineStr">
        <is>
          <t>Income</t>
        </is>
      </c>
      <c r="C62" s="3">
        <f>C58*C61*C60-C60</f>
        <v/>
      </c>
      <c r="D62" s="3">
        <f>D58*D61*D60-D60</f>
        <v/>
      </c>
      <c r="E62" s="3">
        <f>E58*E61*E60-E60</f>
        <v/>
      </c>
      <c r="G62" s="3">
        <f>G58*G61*G60-G60</f>
        <v/>
      </c>
      <c r="H62" s="3">
        <f>H58*H61*H60-H60</f>
        <v/>
      </c>
      <c r="I62" s="3">
        <f>I58*I61*I60-I60</f>
        <v/>
      </c>
      <c r="K62" s="3">
        <f>K58*K61*K60-K60</f>
        <v/>
      </c>
      <c r="L62" s="3">
        <f>L58*L61*L60-L60</f>
        <v/>
      </c>
      <c r="M62" s="3">
        <f>M58*M61*M60-M60</f>
        <v/>
      </c>
    </row>
    <row r="64">
      <c r="A64" s="1" t="inlineStr">
        <is>
          <t>Premier League</t>
        </is>
      </c>
      <c r="C64" s="1" t="inlineStr">
        <is>
          <t>Win/Draw/Lose</t>
        </is>
      </c>
      <c r="E64" s="1">
        <f> 0+C71+D71+E71 + E55</f>
        <v/>
      </c>
      <c r="G64" s="1" t="inlineStr">
        <is>
          <t>1st half winner</t>
        </is>
      </c>
      <c r="I64" s="1">
        <f> 0+G71+H71+I71 + I55</f>
        <v/>
      </c>
      <c r="K64" s="1" t="inlineStr">
        <is>
          <t>2nd half winner</t>
        </is>
      </c>
      <c r="M64" s="1">
        <f> 0+K71+L71+M71 + M55</f>
        <v/>
      </c>
    </row>
    <row r="65">
      <c r="A65" t="inlineStr">
        <is>
          <t>Newcastle - Bournemouth</t>
        </is>
      </c>
      <c r="C65" s="2" t="inlineStr">
        <is>
          <t>W1</t>
        </is>
      </c>
      <c r="D65" s="2" t="inlineStr">
        <is>
          <t>X</t>
        </is>
      </c>
      <c r="E65" s="2" t="inlineStr">
        <is>
          <t>W2</t>
        </is>
      </c>
      <c r="G65" s="2" t="inlineStr">
        <is>
          <t>1st half W1</t>
        </is>
      </c>
      <c r="H65" s="2" t="inlineStr">
        <is>
          <t>1st half X</t>
        </is>
      </c>
      <c r="I65" s="2" t="inlineStr">
        <is>
          <t>1st half W2</t>
        </is>
      </c>
      <c r="K65" s="2" t="inlineStr">
        <is>
          <t>2st half W1</t>
        </is>
      </c>
      <c r="L65" s="2" t="inlineStr">
        <is>
          <t>2nd half X</t>
        </is>
      </c>
      <c r="M65" s="2" t="inlineStr">
        <is>
          <t>2nd half W2</t>
        </is>
      </c>
    </row>
    <row r="66">
      <c r="A66" t="inlineStr">
        <is>
          <t>App</t>
        </is>
      </c>
      <c r="C66" s="3" t="n">
        <v>1.532</v>
      </c>
      <c r="D66" s="3" t="n">
        <v>9.675000000000001</v>
      </c>
      <c r="E66" s="3" t="n">
        <v>5.458</v>
      </c>
      <c r="G66" s="3" t="n">
        <v>1.154</v>
      </c>
      <c r="H66" s="3" t="n">
        <v>9.141999999999999</v>
      </c>
      <c r="I66" s="3" t="n">
        <v>7.163</v>
      </c>
      <c r="K66" s="3" t="n">
        <v>2.237</v>
      </c>
      <c r="L66" s="3" t="n">
        <v>3.2</v>
      </c>
      <c r="M66" s="3" t="n">
        <v>4.911</v>
      </c>
    </row>
    <row r="67">
      <c r="A67" t="inlineStr">
        <is>
          <t>Bookmaker</t>
        </is>
      </c>
      <c r="C67" s="3" t="n">
        <v>0</v>
      </c>
      <c r="D67" s="3" t="n">
        <v>0</v>
      </c>
      <c r="E67" s="3" t="n">
        <v>0</v>
      </c>
      <c r="G67" s="3" t="n">
        <v>0</v>
      </c>
      <c r="H67" s="3" t="n">
        <v>0</v>
      </c>
      <c r="I67" s="3" t="n">
        <v>0</v>
      </c>
      <c r="K67" s="3" t="n">
        <v>0</v>
      </c>
      <c r="L67" s="3" t="n">
        <v>0</v>
      </c>
      <c r="M67" s="3" t="n">
        <v>0</v>
      </c>
    </row>
    <row r="68">
      <c r="A68" t="inlineStr">
        <is>
          <t>Expected payoff</t>
        </is>
      </c>
      <c r="C68" s="3">
        <f>C67/C66</f>
        <v/>
      </c>
      <c r="D68" s="3">
        <f>D67/D66</f>
        <v/>
      </c>
      <c r="E68" s="3">
        <f>E67/E66</f>
        <v/>
      </c>
      <c r="G68" s="3">
        <f>G67/G66</f>
        <v/>
      </c>
      <c r="H68" s="3">
        <f>H67/H66</f>
        <v/>
      </c>
      <c r="I68" s="3">
        <f>I67/I66</f>
        <v/>
      </c>
      <c r="K68" s="3">
        <f>K67/K66</f>
        <v/>
      </c>
      <c r="L68" s="3">
        <f>L67/L66</f>
        <v/>
      </c>
      <c r="M68" s="3">
        <f>M67/M66</f>
        <v/>
      </c>
    </row>
    <row r="69">
      <c r="A69" t="inlineStr">
        <is>
          <t>Bet</t>
        </is>
      </c>
      <c r="C69" s="3" t="n">
        <v>0</v>
      </c>
      <c r="D69" s="3" t="n">
        <v>0</v>
      </c>
      <c r="E69" s="3" t="n">
        <v>0</v>
      </c>
      <c r="G69" s="3" t="n">
        <v>0</v>
      </c>
      <c r="H69" s="3" t="n">
        <v>0</v>
      </c>
      <c r="I69" s="3" t="n">
        <v>0</v>
      </c>
      <c r="K69" s="3" t="n">
        <v>0</v>
      </c>
      <c r="L69" s="3" t="n">
        <v>0</v>
      </c>
      <c r="M69" s="3" t="n">
        <v>0</v>
      </c>
    </row>
    <row r="70">
      <c r="A70" t="inlineStr">
        <is>
          <t>Match result</t>
        </is>
      </c>
      <c r="C70" s="3" t="n">
        <v>0</v>
      </c>
      <c r="D70" s="3" t="n">
        <v>0</v>
      </c>
      <c r="E70" s="3" t="n">
        <v>0</v>
      </c>
      <c r="G70" s="3" t="n">
        <v>0</v>
      </c>
      <c r="H70" s="3" t="n">
        <v>0</v>
      </c>
      <c r="I70" s="3" t="n">
        <v>0</v>
      </c>
      <c r="K70" s="3" t="n">
        <v>0</v>
      </c>
      <c r="L70" s="3" t="n">
        <v>0</v>
      </c>
      <c r="M70" s="3" t="n">
        <v>0</v>
      </c>
    </row>
    <row r="71">
      <c r="A71" t="inlineStr">
        <is>
          <t>Income</t>
        </is>
      </c>
      <c r="C71" s="3">
        <f>C67*C70*C69-C69</f>
        <v/>
      </c>
      <c r="D71" s="3">
        <f>D67*D70*D69-D69</f>
        <v/>
      </c>
      <c r="E71" s="3">
        <f>E67*E70*E69-E69</f>
        <v/>
      </c>
      <c r="G71" s="3">
        <f>G67*G70*G69-G69</f>
        <v/>
      </c>
      <c r="H71" s="3">
        <f>H67*H70*H69-H69</f>
        <v/>
      </c>
      <c r="I71" s="3">
        <f>I67*I70*I69-I69</f>
        <v/>
      </c>
      <c r="K71" s="3">
        <f>K67*K70*K69-K69</f>
        <v/>
      </c>
      <c r="L71" s="3">
        <f>L67*L70*L69-L69</f>
        <v/>
      </c>
      <c r="M71" s="3">
        <f>M67*M70*M69-M69</f>
        <v/>
      </c>
    </row>
    <row r="73">
      <c r="A73" s="1" t="inlineStr">
        <is>
          <t>Premier League</t>
        </is>
      </c>
      <c r="C73" s="1" t="inlineStr">
        <is>
          <t>Win/Draw/Lose</t>
        </is>
      </c>
      <c r="E73" s="1">
        <f> 0+C80+D80+E80 + E64</f>
        <v/>
      </c>
      <c r="G73" s="1" t="inlineStr">
        <is>
          <t>1st half winner</t>
        </is>
      </c>
      <c r="I73" s="1">
        <f> 0+G80+H80+I80 + I64</f>
        <v/>
      </c>
      <c r="K73" s="1" t="inlineStr">
        <is>
          <t>2nd half winner</t>
        </is>
      </c>
      <c r="M73" s="1">
        <f> 0+K80+L80+M80 + M64</f>
        <v/>
      </c>
    </row>
    <row r="74">
      <c r="A74" t="inlineStr">
        <is>
          <t>Brentford - Liverpool</t>
        </is>
      </c>
      <c r="C74" s="2" t="inlineStr">
        <is>
          <t>W1</t>
        </is>
      </c>
      <c r="D74" s="2" t="inlineStr">
        <is>
          <t>X</t>
        </is>
      </c>
      <c r="E74" s="2" t="inlineStr">
        <is>
          <t>W2</t>
        </is>
      </c>
      <c r="G74" s="2" t="inlineStr">
        <is>
          <t>1st half W1</t>
        </is>
      </c>
      <c r="H74" s="2" t="inlineStr">
        <is>
          <t>1st half X</t>
        </is>
      </c>
      <c r="I74" s="2" t="inlineStr">
        <is>
          <t>1st half W2</t>
        </is>
      </c>
      <c r="K74" s="2" t="inlineStr">
        <is>
          <t>2st half W1</t>
        </is>
      </c>
      <c r="L74" s="2" t="inlineStr">
        <is>
          <t>2nd half X</t>
        </is>
      </c>
      <c r="M74" s="2" t="inlineStr">
        <is>
          <t>2nd half W2</t>
        </is>
      </c>
    </row>
    <row r="75">
      <c r="A75" t="inlineStr">
        <is>
          <t>App</t>
        </is>
      </c>
      <c r="C75" s="3" t="n">
        <v>4.739</v>
      </c>
      <c r="D75" s="3" t="n">
        <v>4.921</v>
      </c>
      <c r="E75" s="3" t="n">
        <v>1.377</v>
      </c>
      <c r="G75" s="3" t="n">
        <v>53.441</v>
      </c>
      <c r="H75" s="3" t="n">
        <v>1.826</v>
      </c>
      <c r="I75" s="3" t="n">
        <v>2.585</v>
      </c>
      <c r="K75" s="3" t="n">
        <v>8.476000000000001</v>
      </c>
      <c r="L75" s="3" t="n">
        <v>10.133</v>
      </c>
      <c r="M75" s="3" t="n">
        <v>1.962</v>
      </c>
    </row>
    <row r="76">
      <c r="A76" t="inlineStr">
        <is>
          <t>Bookmaker</t>
        </is>
      </c>
      <c r="C76" s="3" t="n">
        <v>0</v>
      </c>
      <c r="D76" s="3" t="n">
        <v>0</v>
      </c>
      <c r="E76" s="3" t="n">
        <v>0</v>
      </c>
      <c r="G76" s="3" t="n">
        <v>0</v>
      </c>
      <c r="H76" s="3" t="n">
        <v>0</v>
      </c>
      <c r="I76" s="3" t="n">
        <v>0</v>
      </c>
      <c r="K76" s="3" t="n">
        <v>0</v>
      </c>
      <c r="L76" s="3" t="n">
        <v>0</v>
      </c>
      <c r="M76" s="3" t="n">
        <v>0</v>
      </c>
    </row>
    <row r="77">
      <c r="A77" t="inlineStr">
        <is>
          <t>Expected payoff</t>
        </is>
      </c>
      <c r="C77" s="3">
        <f>C76/C75</f>
        <v/>
      </c>
      <c r="D77" s="3">
        <f>D76/D75</f>
        <v/>
      </c>
      <c r="E77" s="3">
        <f>E76/E75</f>
        <v/>
      </c>
      <c r="G77" s="3">
        <f>G76/G75</f>
        <v/>
      </c>
      <c r="H77" s="3">
        <f>H76/H75</f>
        <v/>
      </c>
      <c r="I77" s="3">
        <f>I76/I75</f>
        <v/>
      </c>
      <c r="K77" s="3">
        <f>K76/K75</f>
        <v/>
      </c>
      <c r="L77" s="3">
        <f>L76/L75</f>
        <v/>
      </c>
      <c r="M77" s="3">
        <f>M76/M75</f>
        <v/>
      </c>
    </row>
    <row r="78">
      <c r="A78" t="inlineStr">
        <is>
          <t>Bet</t>
        </is>
      </c>
      <c r="C78" s="3" t="n">
        <v>0</v>
      </c>
      <c r="D78" s="3" t="n">
        <v>0</v>
      </c>
      <c r="E78" s="3" t="n">
        <v>0</v>
      </c>
      <c r="G78" s="3" t="n">
        <v>0</v>
      </c>
      <c r="H78" s="3" t="n">
        <v>0</v>
      </c>
      <c r="I78" s="3" t="n">
        <v>0</v>
      </c>
      <c r="K78" s="3" t="n">
        <v>0</v>
      </c>
      <c r="L78" s="3" t="n">
        <v>0</v>
      </c>
      <c r="M78" s="3" t="n">
        <v>0</v>
      </c>
    </row>
    <row r="79">
      <c r="A79" t="inlineStr">
        <is>
          <t>Match result</t>
        </is>
      </c>
      <c r="C79" s="3" t="n">
        <v>0</v>
      </c>
      <c r="D79" s="3" t="n">
        <v>0</v>
      </c>
      <c r="E79" s="3" t="n">
        <v>0</v>
      </c>
      <c r="G79" s="3" t="n">
        <v>0</v>
      </c>
      <c r="H79" s="3" t="n">
        <v>0</v>
      </c>
      <c r="I79" s="3" t="n">
        <v>0</v>
      </c>
      <c r="K79" s="3" t="n">
        <v>0</v>
      </c>
      <c r="L79" s="3" t="n">
        <v>0</v>
      </c>
      <c r="M79" s="3" t="n">
        <v>0</v>
      </c>
    </row>
    <row r="80">
      <c r="A80" t="inlineStr">
        <is>
          <t>Income</t>
        </is>
      </c>
      <c r="C80" s="3">
        <f>C76*C79*C78-C78</f>
        <v/>
      </c>
      <c r="D80" s="3">
        <f>D76*D79*D78-D78</f>
        <v/>
      </c>
      <c r="E80" s="3">
        <f>E76*E79*E78-E78</f>
        <v/>
      </c>
      <c r="G80" s="3">
        <f>G76*G79*G78-G78</f>
        <v/>
      </c>
      <c r="H80" s="3">
        <f>H76*H79*H78-H78</f>
        <v/>
      </c>
      <c r="I80" s="3">
        <f>I76*I79*I78-I78</f>
        <v/>
      </c>
      <c r="K80" s="3">
        <f>K76*K79*K78-K78</f>
        <v/>
      </c>
      <c r="L80" s="3">
        <f>L76*L79*L78-L78</f>
        <v/>
      </c>
      <c r="M80" s="3">
        <f>M76*M79*M78-M78</f>
        <v/>
      </c>
    </row>
    <row r="82">
      <c r="A82" s="1" t="inlineStr">
        <is>
          <t>Premier League</t>
        </is>
      </c>
      <c r="C82" s="1" t="inlineStr">
        <is>
          <t>Win/Draw/Lose</t>
        </is>
      </c>
      <c r="E82" s="1">
        <f> 0+C89+D89+E89 + E73</f>
        <v/>
      </c>
      <c r="G82" s="1" t="inlineStr">
        <is>
          <t>1st half winner</t>
        </is>
      </c>
      <c r="I82" s="1">
        <f> 0+G89+H89+I89 + I73</f>
        <v/>
      </c>
      <c r="K82" s="1" t="inlineStr">
        <is>
          <t>2nd half winner</t>
        </is>
      </c>
      <c r="M82" s="1">
        <f> 0+K89+L89+M89 + M73</f>
        <v/>
      </c>
    </row>
    <row r="83">
      <c r="A83" t="inlineStr">
        <is>
          <t>West Ham - Crystal Palace</t>
        </is>
      </c>
      <c r="C83" s="2" t="inlineStr">
        <is>
          <t>W1</t>
        </is>
      </c>
      <c r="D83" s="2" t="inlineStr">
        <is>
          <t>X</t>
        </is>
      </c>
      <c r="E83" s="2" t="inlineStr">
        <is>
          <t>W2</t>
        </is>
      </c>
      <c r="G83" s="2" t="inlineStr">
        <is>
          <t>1st half W1</t>
        </is>
      </c>
      <c r="H83" s="2" t="inlineStr">
        <is>
          <t>1st half X</t>
        </is>
      </c>
      <c r="I83" s="2" t="inlineStr">
        <is>
          <t>1st half W2</t>
        </is>
      </c>
      <c r="K83" s="2" t="inlineStr">
        <is>
          <t>2st half W1</t>
        </is>
      </c>
      <c r="L83" s="2" t="inlineStr">
        <is>
          <t>2nd half X</t>
        </is>
      </c>
      <c r="M83" s="2" t="inlineStr">
        <is>
          <t>2nd half W2</t>
        </is>
      </c>
    </row>
    <row r="84">
      <c r="A84" t="inlineStr">
        <is>
          <t>App</t>
        </is>
      </c>
      <c r="C84" s="3" t="n">
        <v>2.814</v>
      </c>
      <c r="D84" s="3" t="n">
        <v>4.433</v>
      </c>
      <c r="E84" s="3" t="n">
        <v>2.353</v>
      </c>
      <c r="G84" s="3" t="n">
        <v>3.746</v>
      </c>
      <c r="H84" s="3" t="n">
        <v>7.65</v>
      </c>
      <c r="I84" s="3" t="n">
        <v>3.828</v>
      </c>
      <c r="K84" s="3" t="n">
        <v>3.408</v>
      </c>
      <c r="L84" s="3" t="n">
        <v>5.296</v>
      </c>
      <c r="M84" s="3" t="n">
        <v>4.601</v>
      </c>
    </row>
    <row r="85">
      <c r="A85" t="inlineStr">
        <is>
          <t>Bookmaker</t>
        </is>
      </c>
      <c r="C85" s="3" t="n">
        <v>0</v>
      </c>
      <c r="D85" s="3" t="n">
        <v>0</v>
      </c>
      <c r="E85" s="3" t="n">
        <v>0</v>
      </c>
      <c r="G85" s="3" t="n">
        <v>0</v>
      </c>
      <c r="H85" s="3" t="n">
        <v>0</v>
      </c>
      <c r="I85" s="3" t="n">
        <v>0</v>
      </c>
      <c r="K85" s="3" t="n">
        <v>0</v>
      </c>
      <c r="L85" s="3" t="n">
        <v>0</v>
      </c>
      <c r="M85" s="3" t="n">
        <v>0</v>
      </c>
    </row>
    <row r="86">
      <c r="A86" t="inlineStr">
        <is>
          <t>Expected payoff</t>
        </is>
      </c>
      <c r="C86" s="3">
        <f>C85/C84</f>
        <v/>
      </c>
      <c r="D86" s="3">
        <f>D85/D84</f>
        <v/>
      </c>
      <c r="E86" s="3">
        <f>E85/E84</f>
        <v/>
      </c>
      <c r="G86" s="3">
        <f>G85/G84</f>
        <v/>
      </c>
      <c r="H86" s="3">
        <f>H85/H84</f>
        <v/>
      </c>
      <c r="I86" s="3">
        <f>I85/I84</f>
        <v/>
      </c>
      <c r="K86" s="3">
        <f>K85/K84</f>
        <v/>
      </c>
      <c r="L86" s="3">
        <f>L85/L84</f>
        <v/>
      </c>
      <c r="M86" s="3">
        <f>M85/M84</f>
        <v/>
      </c>
    </row>
    <row r="87">
      <c r="A87" t="inlineStr">
        <is>
          <t>Bet</t>
        </is>
      </c>
      <c r="C87" s="3" t="n">
        <v>0</v>
      </c>
      <c r="D87" s="3" t="n">
        <v>0</v>
      </c>
      <c r="E87" s="3" t="n">
        <v>0</v>
      </c>
      <c r="G87" s="3" t="n">
        <v>0</v>
      </c>
      <c r="H87" s="3" t="n">
        <v>0</v>
      </c>
      <c r="I87" s="3" t="n">
        <v>0</v>
      </c>
      <c r="K87" s="3" t="n">
        <v>0</v>
      </c>
      <c r="L87" s="3" t="n">
        <v>0</v>
      </c>
      <c r="M87" s="3" t="n">
        <v>0</v>
      </c>
    </row>
    <row r="88">
      <c r="A88" t="inlineStr">
        <is>
          <t>Match result</t>
        </is>
      </c>
      <c r="C88" s="3" t="n">
        <v>0</v>
      </c>
      <c r="D88" s="3" t="n">
        <v>0</v>
      </c>
      <c r="E88" s="3" t="n">
        <v>0</v>
      </c>
      <c r="G88" s="3" t="n">
        <v>0</v>
      </c>
      <c r="H88" s="3" t="n">
        <v>0</v>
      </c>
      <c r="I88" s="3" t="n">
        <v>0</v>
      </c>
      <c r="K88" s="3" t="n">
        <v>0</v>
      </c>
      <c r="L88" s="3" t="n">
        <v>0</v>
      </c>
      <c r="M88" s="3" t="n">
        <v>0</v>
      </c>
    </row>
    <row r="89">
      <c r="A89" t="inlineStr">
        <is>
          <t>Income</t>
        </is>
      </c>
      <c r="C89" s="3">
        <f>C85*C88*C87-C87</f>
        <v/>
      </c>
      <c r="D89" s="3">
        <f>D85*D88*D87-D87</f>
        <v/>
      </c>
      <c r="E89" s="3">
        <f>E85*E88*E87-E87</f>
        <v/>
      </c>
      <c r="G89" s="3">
        <f>G85*G88*G87-G87</f>
        <v/>
      </c>
      <c r="H89" s="3">
        <f>H85*H88*H87-H87</f>
        <v/>
      </c>
      <c r="I89" s="3">
        <f>I85*I88*I87-I87</f>
        <v/>
      </c>
      <c r="K89" s="3">
        <f>K85*K88*K87-K87</f>
        <v/>
      </c>
      <c r="L89" s="3">
        <f>L85*L88*L87-L87</f>
        <v/>
      </c>
      <c r="M89" s="3">
        <f>M85*M88*M87-M87</f>
        <v/>
      </c>
    </row>
    <row r="91">
      <c r="A91" s="1" t="inlineStr">
        <is>
          <t>Premier League</t>
        </is>
      </c>
      <c r="C91" s="1" t="inlineStr">
        <is>
          <t>Win/Draw/Lose</t>
        </is>
      </c>
      <c r="E91" s="1">
        <f> 0+C98+D98+E98 + E82</f>
        <v/>
      </c>
      <c r="G91" s="1" t="inlineStr">
        <is>
          <t>1st half winner</t>
        </is>
      </c>
      <c r="I91" s="1">
        <f> 0+G98+H98+I98 + I82</f>
        <v/>
      </c>
      <c r="K91" s="1" t="inlineStr">
        <is>
          <t>2nd half winner</t>
        </is>
      </c>
      <c r="M91" s="1">
        <f> 0+K98+L98+M98 + M82</f>
        <v/>
      </c>
    </row>
    <row r="92">
      <c r="A92" t="inlineStr">
        <is>
          <t>Arsenal - Aston Villa</t>
        </is>
      </c>
      <c r="C92" s="2" t="inlineStr">
        <is>
          <t>W1</t>
        </is>
      </c>
      <c r="D92" s="2" t="inlineStr">
        <is>
          <t>X</t>
        </is>
      </c>
      <c r="E92" s="2" t="inlineStr">
        <is>
          <t>W2</t>
        </is>
      </c>
      <c r="G92" s="2" t="inlineStr">
        <is>
          <t>1st half W1</t>
        </is>
      </c>
      <c r="H92" s="2" t="inlineStr">
        <is>
          <t>1st half X</t>
        </is>
      </c>
      <c r="I92" s="2" t="inlineStr">
        <is>
          <t>1st half W2</t>
        </is>
      </c>
      <c r="K92" s="2" t="inlineStr">
        <is>
          <t>2st half W1</t>
        </is>
      </c>
      <c r="L92" s="2" t="inlineStr">
        <is>
          <t>2nd half X</t>
        </is>
      </c>
      <c r="M92" s="2" t="inlineStr">
        <is>
          <t>2nd half W2</t>
        </is>
      </c>
    </row>
    <row r="93">
      <c r="A93" t="inlineStr">
        <is>
          <t>App</t>
        </is>
      </c>
      <c r="C93" s="3" t="n">
        <v>1.173</v>
      </c>
      <c r="D93" s="3" t="n">
        <v>7.757</v>
      </c>
      <c r="E93" s="3" t="n">
        <v>14.317</v>
      </c>
      <c r="G93" s="3" t="n">
        <v>2.541</v>
      </c>
      <c r="H93" s="3" t="n">
        <v>2.092</v>
      </c>
      <c r="I93" s="3" t="n">
        <v>9.493</v>
      </c>
      <c r="K93" s="3" t="n">
        <v>1.423</v>
      </c>
      <c r="L93" s="3" t="n">
        <v>5.231</v>
      </c>
      <c r="M93" s="3" t="n">
        <v>9.17</v>
      </c>
    </row>
    <row r="94">
      <c r="A94" t="inlineStr">
        <is>
          <t>Bookmaker</t>
        </is>
      </c>
      <c r="C94" s="3" t="n">
        <v>0</v>
      </c>
      <c r="D94" s="3" t="n">
        <v>0</v>
      </c>
      <c r="E94" s="3" t="n">
        <v>0</v>
      </c>
      <c r="G94" s="3" t="n">
        <v>0</v>
      </c>
      <c r="H94" s="3" t="n">
        <v>0</v>
      </c>
      <c r="I94" s="3" t="n">
        <v>0</v>
      </c>
      <c r="K94" s="3" t="n">
        <v>0</v>
      </c>
      <c r="L94" s="3" t="n">
        <v>0</v>
      </c>
      <c r="M94" s="3" t="n">
        <v>0</v>
      </c>
    </row>
    <row r="95">
      <c r="A95" t="inlineStr">
        <is>
          <t>Expected payoff</t>
        </is>
      </c>
      <c r="C95" s="3">
        <f>C94/C93</f>
        <v/>
      </c>
      <c r="D95" s="3">
        <f>D94/D93</f>
        <v/>
      </c>
      <c r="E95" s="3">
        <f>E94/E93</f>
        <v/>
      </c>
      <c r="G95" s="3">
        <f>G94/G93</f>
        <v/>
      </c>
      <c r="H95" s="3">
        <f>H94/H93</f>
        <v/>
      </c>
      <c r="I95" s="3">
        <f>I94/I93</f>
        <v/>
      </c>
      <c r="K95" s="3">
        <f>K94/K93</f>
        <v/>
      </c>
      <c r="L95" s="3">
        <f>L94/L93</f>
        <v/>
      </c>
      <c r="M95" s="3">
        <f>M94/M93</f>
        <v/>
      </c>
    </row>
    <row r="96">
      <c r="A96" t="inlineStr">
        <is>
          <t>Bet</t>
        </is>
      </c>
      <c r="C96" s="3" t="n">
        <v>0</v>
      </c>
      <c r="D96" s="3" t="n">
        <v>0</v>
      </c>
      <c r="E96" s="3" t="n">
        <v>0</v>
      </c>
      <c r="G96" s="3" t="n">
        <v>0</v>
      </c>
      <c r="H96" s="3" t="n">
        <v>0</v>
      </c>
      <c r="I96" s="3" t="n">
        <v>0</v>
      </c>
      <c r="K96" s="3" t="n">
        <v>0</v>
      </c>
      <c r="L96" s="3" t="n">
        <v>0</v>
      </c>
      <c r="M96" s="3" t="n">
        <v>0</v>
      </c>
    </row>
    <row r="97">
      <c r="A97" t="inlineStr">
        <is>
          <t>Match result</t>
        </is>
      </c>
      <c r="C97" s="3" t="n">
        <v>0</v>
      </c>
      <c r="D97" s="3" t="n">
        <v>0</v>
      </c>
      <c r="E97" s="3" t="n">
        <v>0</v>
      </c>
      <c r="G97" s="3" t="n">
        <v>0</v>
      </c>
      <c r="H97" s="3" t="n">
        <v>0</v>
      </c>
      <c r="I97" s="3" t="n">
        <v>0</v>
      </c>
      <c r="K97" s="3" t="n">
        <v>0</v>
      </c>
      <c r="L97" s="3" t="n">
        <v>0</v>
      </c>
      <c r="M97" s="3" t="n">
        <v>0</v>
      </c>
    </row>
    <row r="98">
      <c r="A98" t="inlineStr">
        <is>
          <t>Income</t>
        </is>
      </c>
      <c r="C98" s="3">
        <f>C94*C97*C96-C96</f>
        <v/>
      </c>
      <c r="D98" s="3">
        <f>D94*D97*D96-D96</f>
        <v/>
      </c>
      <c r="E98" s="3">
        <f>E94*E97*E96-E96</f>
        <v/>
      </c>
      <c r="G98" s="3">
        <f>G94*G97*G96-G96</f>
        <v/>
      </c>
      <c r="H98" s="3">
        <f>H94*H97*H96-H96</f>
        <v/>
      </c>
      <c r="I98" s="3">
        <f>I94*I97*I96-I96</f>
        <v/>
      </c>
      <c r="K98" s="3">
        <f>K94*K97*K96-K96</f>
        <v/>
      </c>
      <c r="L98" s="3">
        <f>L94*L97*L96-L96</f>
        <v/>
      </c>
      <c r="M98" s="3">
        <f>M94*M97*M96-M96</f>
        <v/>
      </c>
    </row>
    <row r="100">
      <c r="A100" s="1" t="inlineStr">
        <is>
          <t>Premier League</t>
        </is>
      </c>
      <c r="C100" s="1" t="inlineStr">
        <is>
          <t>Win/Draw/Lose</t>
        </is>
      </c>
      <c r="E100" s="1">
        <f> 0+C107+D107+E107 + E91</f>
        <v/>
      </c>
      <c r="G100" s="1" t="inlineStr">
        <is>
          <t>1st half winner</t>
        </is>
      </c>
      <c r="I100" s="1">
        <f> 0+G107+H107+I107 + I91</f>
        <v/>
      </c>
      <c r="K100" s="1" t="inlineStr">
        <is>
          <t>2nd half winner</t>
        </is>
      </c>
      <c r="M100" s="1">
        <f> 0+K107+L107+M107 + M91</f>
        <v/>
      </c>
    </row>
    <row r="101">
      <c r="A101" t="inlineStr">
        <is>
          <t>Manchester United - Brighton</t>
        </is>
      </c>
      <c r="C101" s="2" t="inlineStr">
        <is>
          <t>W1</t>
        </is>
      </c>
      <c r="D101" s="2" t="inlineStr">
        <is>
          <t>X</t>
        </is>
      </c>
      <c r="E101" s="2" t="inlineStr">
        <is>
          <t>W2</t>
        </is>
      </c>
      <c r="G101" s="2" t="inlineStr">
        <is>
          <t>1st half W1</t>
        </is>
      </c>
      <c r="H101" s="2" t="inlineStr">
        <is>
          <t>1st half X</t>
        </is>
      </c>
      <c r="I101" s="2" t="inlineStr">
        <is>
          <t>1st half W2</t>
        </is>
      </c>
      <c r="K101" s="2" t="inlineStr">
        <is>
          <t>2st half W1</t>
        </is>
      </c>
      <c r="L101" s="2" t="inlineStr">
        <is>
          <t>2nd half X</t>
        </is>
      </c>
      <c r="M101" s="2" t="inlineStr">
        <is>
          <t>2nd half W2</t>
        </is>
      </c>
    </row>
    <row r="102">
      <c r="A102" t="inlineStr">
        <is>
          <t>App</t>
        </is>
      </c>
      <c r="C102" s="3" t="n">
        <v>2.112</v>
      </c>
      <c r="D102" s="3" t="n">
        <v>5.715</v>
      </c>
      <c r="E102" s="3" t="n">
        <v>4.547</v>
      </c>
      <c r="G102" s="3" t="n">
        <v>5.48</v>
      </c>
      <c r="H102" s="3" t="n">
        <v>2.058</v>
      </c>
      <c r="I102" s="3" t="n">
        <v>1.408</v>
      </c>
      <c r="K102" s="3" t="n">
        <v>2.611</v>
      </c>
      <c r="L102" s="3" t="n">
        <v>3.563</v>
      </c>
      <c r="M102" s="3" t="n">
        <v>11.722</v>
      </c>
    </row>
    <row r="103">
      <c r="A103" t="inlineStr">
        <is>
          <t>Bookmaker</t>
        </is>
      </c>
      <c r="C103" s="3" t="n">
        <v>0</v>
      </c>
      <c r="D103" s="3" t="n">
        <v>0</v>
      </c>
      <c r="E103" s="3" t="n">
        <v>0</v>
      </c>
      <c r="G103" s="3" t="n">
        <v>0</v>
      </c>
      <c r="H103" s="3" t="n">
        <v>0</v>
      </c>
      <c r="I103" s="3" t="n">
        <v>0</v>
      </c>
      <c r="K103" s="3" t="n">
        <v>0</v>
      </c>
      <c r="L103" s="3" t="n">
        <v>0</v>
      </c>
      <c r="M103" s="3" t="n">
        <v>0</v>
      </c>
    </row>
    <row r="104">
      <c r="A104" t="inlineStr">
        <is>
          <t>Expected payoff</t>
        </is>
      </c>
      <c r="C104" s="3">
        <f>C103/C102</f>
        <v/>
      </c>
      <c r="D104" s="3">
        <f>D103/D102</f>
        <v/>
      </c>
      <c r="E104" s="3">
        <f>E103/E102</f>
        <v/>
      </c>
      <c r="G104" s="3">
        <f>G103/G102</f>
        <v/>
      </c>
      <c r="H104" s="3">
        <f>H103/H102</f>
        <v/>
      </c>
      <c r="I104" s="3">
        <f>I103/I102</f>
        <v/>
      </c>
      <c r="K104" s="3">
        <f>K103/K102</f>
        <v/>
      </c>
      <c r="L104" s="3">
        <f>L103/L102</f>
        <v/>
      </c>
      <c r="M104" s="3">
        <f>M103/M102</f>
        <v/>
      </c>
    </row>
    <row r="105">
      <c r="A105" t="inlineStr">
        <is>
          <t>Bet</t>
        </is>
      </c>
      <c r="C105" s="3" t="n">
        <v>0</v>
      </c>
      <c r="D105" s="3" t="n">
        <v>0</v>
      </c>
      <c r="E105" s="3" t="n">
        <v>0</v>
      </c>
      <c r="G105" s="3" t="n">
        <v>0</v>
      </c>
      <c r="H105" s="3" t="n">
        <v>0</v>
      </c>
      <c r="I105" s="3" t="n">
        <v>0</v>
      </c>
      <c r="K105" s="3" t="n">
        <v>0</v>
      </c>
      <c r="L105" s="3" t="n">
        <v>0</v>
      </c>
      <c r="M105" s="3" t="n">
        <v>0</v>
      </c>
    </row>
    <row r="106">
      <c r="A106" t="inlineStr">
        <is>
          <t>Match result</t>
        </is>
      </c>
      <c r="C106" s="3" t="n">
        <v>0</v>
      </c>
      <c r="D106" s="3" t="n">
        <v>0</v>
      </c>
      <c r="E106" s="3" t="n">
        <v>0</v>
      </c>
      <c r="G106" s="3" t="n">
        <v>0</v>
      </c>
      <c r="H106" s="3" t="n">
        <v>0</v>
      </c>
      <c r="I106" s="3" t="n">
        <v>0</v>
      </c>
      <c r="K106" s="3" t="n">
        <v>0</v>
      </c>
      <c r="L106" s="3" t="n">
        <v>0</v>
      </c>
      <c r="M106" s="3" t="n">
        <v>0</v>
      </c>
    </row>
    <row r="107">
      <c r="A107" t="inlineStr">
        <is>
          <t>Income</t>
        </is>
      </c>
      <c r="C107" s="3">
        <f>C103*C106*C105-C105</f>
        <v/>
      </c>
      <c r="D107" s="3">
        <f>D103*D106*D105-D105</f>
        <v/>
      </c>
      <c r="E107" s="3">
        <f>E103*E106*E105-E105</f>
        <v/>
      </c>
      <c r="G107" s="3">
        <f>G103*G106*G105-G105</f>
        <v/>
      </c>
      <c r="H107" s="3">
        <f>H103*H106*H105-H105</f>
        <v/>
      </c>
      <c r="I107" s="3">
        <f>I103*I106*I105-I105</f>
        <v/>
      </c>
      <c r="K107" s="3">
        <f>K103*K106*K105-K105</f>
        <v/>
      </c>
      <c r="L107" s="3">
        <f>L103*L106*L105-L105</f>
        <v/>
      </c>
      <c r="M107" s="3">
        <f>M103*M106*M105-M105</f>
        <v/>
      </c>
    </row>
    <row r="109">
      <c r="A109" s="1" t="inlineStr">
        <is>
          <t>Premier League</t>
        </is>
      </c>
      <c r="C109" s="1" t="inlineStr">
        <is>
          <t>Win/Draw/Lose</t>
        </is>
      </c>
      <c r="E109" s="1">
        <f> 0+C116+D116+E116 + E100</f>
        <v/>
      </c>
      <c r="G109" s="1" t="inlineStr">
        <is>
          <t>1st half winner</t>
        </is>
      </c>
      <c r="I109" s="1">
        <f> 0+G116+H116+I116 + I100</f>
        <v/>
      </c>
      <c r="K109" s="1" t="inlineStr">
        <is>
          <t>2nd half winner</t>
        </is>
      </c>
      <c r="M109" s="1">
        <f> 0+K116+L116+M116 + M100</f>
        <v/>
      </c>
    </row>
    <row r="110">
      <c r="A110" t="inlineStr">
        <is>
          <t>Chelsea - Wolves</t>
        </is>
      </c>
      <c r="C110" s="2" t="inlineStr">
        <is>
          <t>W1</t>
        </is>
      </c>
      <c r="D110" s="2" t="inlineStr">
        <is>
          <t>X</t>
        </is>
      </c>
      <c r="E110" s="2" t="inlineStr">
        <is>
          <t>W2</t>
        </is>
      </c>
      <c r="G110" s="2" t="inlineStr">
        <is>
          <t>1st half W1</t>
        </is>
      </c>
      <c r="H110" s="2" t="inlineStr">
        <is>
          <t>1st half X</t>
        </is>
      </c>
      <c r="I110" s="2" t="inlineStr">
        <is>
          <t>1st half W2</t>
        </is>
      </c>
      <c r="K110" s="2" t="inlineStr">
        <is>
          <t>2st half W1</t>
        </is>
      </c>
      <c r="L110" s="2" t="inlineStr">
        <is>
          <t>2nd half X</t>
        </is>
      </c>
      <c r="M110" s="2" t="inlineStr">
        <is>
          <t>2nd half W2</t>
        </is>
      </c>
    </row>
    <row r="111">
      <c r="A111" t="inlineStr">
        <is>
          <t>App</t>
        </is>
      </c>
      <c r="C111" s="3" t="n">
        <v>1.706</v>
      </c>
      <c r="D111" s="3" t="n">
        <v>4.013</v>
      </c>
      <c r="E111" s="3" t="n">
        <v>14.707</v>
      </c>
      <c r="G111" s="3" t="n">
        <v>1.917</v>
      </c>
      <c r="H111" s="3" t="n">
        <v>2.992</v>
      </c>
      <c r="I111" s="3" t="n">
        <v>17.686</v>
      </c>
      <c r="K111" s="3" t="n">
        <v>3.326</v>
      </c>
      <c r="L111" s="3" t="n">
        <v>6.263</v>
      </c>
      <c r="M111" s="3" t="n">
        <v>2.662</v>
      </c>
    </row>
    <row r="112">
      <c r="A112" t="inlineStr">
        <is>
          <t>Bookmaker</t>
        </is>
      </c>
      <c r="C112" s="3" t="n">
        <v>0</v>
      </c>
      <c r="D112" s="3" t="n">
        <v>0</v>
      </c>
      <c r="E112" s="3" t="n">
        <v>0</v>
      </c>
      <c r="G112" s="3" t="n">
        <v>0</v>
      </c>
      <c r="H112" s="3" t="n">
        <v>0</v>
      </c>
      <c r="I112" s="3" t="n">
        <v>0</v>
      </c>
      <c r="K112" s="3" t="n">
        <v>0</v>
      </c>
      <c r="L112" s="3" t="n">
        <v>0</v>
      </c>
      <c r="M112" s="3" t="n">
        <v>0</v>
      </c>
    </row>
    <row r="113">
      <c r="A113" t="inlineStr">
        <is>
          <t>Expected payoff</t>
        </is>
      </c>
      <c r="C113" s="3">
        <f>C112/C111</f>
        <v/>
      </c>
      <c r="D113" s="3">
        <f>D112/D111</f>
        <v/>
      </c>
      <c r="E113" s="3">
        <f>E112/E111</f>
        <v/>
      </c>
      <c r="G113" s="3">
        <f>G112/G111</f>
        <v/>
      </c>
      <c r="H113" s="3">
        <f>H112/H111</f>
        <v/>
      </c>
      <c r="I113" s="3">
        <f>I112/I111</f>
        <v/>
      </c>
      <c r="K113" s="3">
        <f>K112/K111</f>
        <v/>
      </c>
      <c r="L113" s="3">
        <f>L112/L111</f>
        <v/>
      </c>
      <c r="M113" s="3">
        <f>M112/M111</f>
        <v/>
      </c>
    </row>
    <row r="114">
      <c r="A114" t="inlineStr">
        <is>
          <t>Bet</t>
        </is>
      </c>
      <c r="C114" s="3" t="n">
        <v>0</v>
      </c>
      <c r="D114" s="3" t="n">
        <v>0</v>
      </c>
      <c r="E114" s="3" t="n">
        <v>0</v>
      </c>
      <c r="G114" s="3" t="n">
        <v>0</v>
      </c>
      <c r="H114" s="3" t="n">
        <v>0</v>
      </c>
      <c r="I114" s="3" t="n">
        <v>0</v>
      </c>
      <c r="K114" s="3" t="n">
        <v>0</v>
      </c>
      <c r="L114" s="3" t="n">
        <v>0</v>
      </c>
      <c r="M114" s="3" t="n">
        <v>0</v>
      </c>
    </row>
    <row r="115">
      <c r="A115" t="inlineStr">
        <is>
          <t>Match result</t>
        </is>
      </c>
      <c r="C115" s="3" t="n">
        <v>0</v>
      </c>
      <c r="D115" s="3" t="n">
        <v>0</v>
      </c>
      <c r="E115" s="3" t="n">
        <v>0</v>
      </c>
      <c r="G115" s="3" t="n">
        <v>0</v>
      </c>
      <c r="H115" s="3" t="n">
        <v>0</v>
      </c>
      <c r="I115" s="3" t="n">
        <v>0</v>
      </c>
      <c r="K115" s="3" t="n">
        <v>0</v>
      </c>
      <c r="L115" s="3" t="n">
        <v>0</v>
      </c>
      <c r="M115" s="3" t="n">
        <v>0</v>
      </c>
    </row>
    <row r="116">
      <c r="A116" t="inlineStr">
        <is>
          <t>Income</t>
        </is>
      </c>
      <c r="C116" s="3">
        <f>C112*C115*C114-C114</f>
        <v/>
      </c>
      <c r="D116" s="3">
        <f>D112*D115*D114-D114</f>
        <v/>
      </c>
      <c r="E116" s="3">
        <f>E112*E115*E114-E114</f>
        <v/>
      </c>
      <c r="G116" s="3">
        <f>G112*G115*G114-G114</f>
        <v/>
      </c>
      <c r="H116" s="3">
        <f>H112*H115*H114-H114</f>
        <v/>
      </c>
      <c r="I116" s="3">
        <f>I112*I115*I114-I114</f>
        <v/>
      </c>
      <c r="K116" s="3">
        <f>K112*K115*K114-K114</f>
        <v/>
      </c>
      <c r="L116" s="3">
        <f>L112*L115*L114-L114</f>
        <v/>
      </c>
      <c r="M116" s="3">
        <f>M112*M115*M114-M114</f>
        <v/>
      </c>
    </row>
    <row r="118">
      <c r="A118" s="1" t="inlineStr">
        <is>
          <t>La Liga</t>
        </is>
      </c>
      <c r="C118" s="1" t="inlineStr">
        <is>
          <t>Win/Draw/Lose</t>
        </is>
      </c>
      <c r="E118" s="1">
        <f> 0+C125+D125+E125 + E109</f>
        <v/>
      </c>
      <c r="G118" s="1" t="inlineStr">
        <is>
          <t>1st half winner</t>
        </is>
      </c>
      <c r="I118" s="1">
        <f> 0+G125+H125+I125 + I109</f>
        <v/>
      </c>
      <c r="K118" s="1" t="inlineStr">
        <is>
          <t>2nd half winner</t>
        </is>
      </c>
      <c r="M118" s="1">
        <f> 0+K125+L125+M125 + M109</f>
        <v/>
      </c>
    </row>
    <row r="119">
      <c r="A119" t="inlineStr">
        <is>
          <t>Girona - Sevilla</t>
        </is>
      </c>
      <c r="C119" s="2" t="inlineStr">
        <is>
          <t>W1</t>
        </is>
      </c>
      <c r="D119" s="2" t="inlineStr">
        <is>
          <t>X</t>
        </is>
      </c>
      <c r="E119" s="2" t="inlineStr">
        <is>
          <t>W2</t>
        </is>
      </c>
      <c r="G119" s="2" t="inlineStr">
        <is>
          <t>1st half W1</t>
        </is>
      </c>
      <c r="H119" s="2" t="inlineStr">
        <is>
          <t>1st half X</t>
        </is>
      </c>
      <c r="I119" s="2" t="inlineStr">
        <is>
          <t>1st half W2</t>
        </is>
      </c>
      <c r="K119" s="2" t="inlineStr">
        <is>
          <t>2st half W1</t>
        </is>
      </c>
      <c r="L119" s="2" t="inlineStr">
        <is>
          <t>2nd half X</t>
        </is>
      </c>
      <c r="M119" s="2" t="inlineStr">
        <is>
          <t>2nd half W2</t>
        </is>
      </c>
    </row>
    <row r="120">
      <c r="A120" t="inlineStr">
        <is>
          <t>App</t>
        </is>
      </c>
      <c r="C120" s="3" t="n">
        <v>16.06</v>
      </c>
      <c r="D120" s="3" t="n">
        <v>15.377</v>
      </c>
      <c r="E120" s="3" t="n">
        <v>1.956</v>
      </c>
      <c r="G120" s="3" t="n">
        <v>2.764</v>
      </c>
      <c r="H120" s="3" t="n">
        <v>9.077</v>
      </c>
      <c r="I120" s="3" t="n">
        <v>5.152</v>
      </c>
      <c r="K120" s="3" t="n">
        <v>10.761</v>
      </c>
      <c r="L120" s="3" t="n">
        <v>26.415</v>
      </c>
      <c r="M120" s="3" t="n">
        <v>6.189</v>
      </c>
    </row>
    <row r="121">
      <c r="A121" t="inlineStr">
        <is>
          <t>Bookmaker</t>
        </is>
      </c>
      <c r="C121" s="3" t="n">
        <v>0</v>
      </c>
      <c r="D121" s="3" t="n">
        <v>0</v>
      </c>
      <c r="E121" s="3" t="n">
        <v>0</v>
      </c>
      <c r="G121" s="3" t="n">
        <v>0</v>
      </c>
      <c r="H121" s="3" t="n">
        <v>0</v>
      </c>
      <c r="I121" s="3" t="n">
        <v>0</v>
      </c>
      <c r="K121" s="3" t="n">
        <v>0</v>
      </c>
      <c r="L121" s="3" t="n">
        <v>0</v>
      </c>
      <c r="M121" s="3" t="n">
        <v>0</v>
      </c>
    </row>
    <row r="122">
      <c r="A122" t="inlineStr">
        <is>
          <t>Expected payoff</t>
        </is>
      </c>
      <c r="C122" s="3">
        <f>C121/C120</f>
        <v/>
      </c>
      <c r="D122" s="3">
        <f>D121/D120</f>
        <v/>
      </c>
      <c r="E122" s="3">
        <f>E121/E120</f>
        <v/>
      </c>
      <c r="G122" s="3">
        <f>G121/G120</f>
        <v/>
      </c>
      <c r="H122" s="3">
        <f>H121/H120</f>
        <v/>
      </c>
      <c r="I122" s="3">
        <f>I121/I120</f>
        <v/>
      </c>
      <c r="K122" s="3">
        <f>K121/K120</f>
        <v/>
      </c>
      <c r="L122" s="3">
        <f>L121/L120</f>
        <v/>
      </c>
      <c r="M122" s="3">
        <f>M121/M120</f>
        <v/>
      </c>
    </row>
    <row r="123">
      <c r="A123" t="inlineStr">
        <is>
          <t>Bet</t>
        </is>
      </c>
      <c r="C123" s="3" t="n">
        <v>0</v>
      </c>
      <c r="D123" s="3" t="n">
        <v>0</v>
      </c>
      <c r="E123" s="3" t="n">
        <v>0</v>
      </c>
      <c r="G123" s="3" t="n">
        <v>0</v>
      </c>
      <c r="H123" s="3" t="n">
        <v>0</v>
      </c>
      <c r="I123" s="3" t="n">
        <v>0</v>
      </c>
      <c r="K123" s="3" t="n">
        <v>0</v>
      </c>
      <c r="L123" s="3" t="n">
        <v>0</v>
      </c>
      <c r="M123" s="3" t="n">
        <v>0</v>
      </c>
    </row>
    <row r="124">
      <c r="A124" t="inlineStr">
        <is>
          <t>Match result</t>
        </is>
      </c>
      <c r="C124" s="3" t="n">
        <v>0</v>
      </c>
      <c r="D124" s="3" t="n">
        <v>0</v>
      </c>
      <c r="E124" s="3" t="n">
        <v>0</v>
      </c>
      <c r="G124" s="3" t="n">
        <v>0</v>
      </c>
      <c r="H124" s="3" t="n">
        <v>0</v>
      </c>
      <c r="I124" s="3" t="n">
        <v>0</v>
      </c>
      <c r="K124" s="3" t="n">
        <v>0</v>
      </c>
      <c r="L124" s="3" t="n">
        <v>0</v>
      </c>
      <c r="M124" s="3" t="n">
        <v>0</v>
      </c>
    </row>
    <row r="125">
      <c r="A125" t="inlineStr">
        <is>
          <t>Income</t>
        </is>
      </c>
      <c r="C125" s="3">
        <f>C121*C124*C123-C123</f>
        <v/>
      </c>
      <c r="D125" s="3">
        <f>D121*D124*D123-D123</f>
        <v/>
      </c>
      <c r="E125" s="3">
        <f>E121*E124*E123-E123</f>
        <v/>
      </c>
      <c r="G125" s="3">
        <f>G121*G124*G123-G123</f>
        <v/>
      </c>
      <c r="H125" s="3">
        <f>H121*H124*H123-H123</f>
        <v/>
      </c>
      <c r="I125" s="3">
        <f>I121*I124*I123-I123</f>
        <v/>
      </c>
      <c r="K125" s="3">
        <f>K121*K124*K123-K123</f>
        <v/>
      </c>
      <c r="L125" s="3">
        <f>L121*L124*L123-L123</f>
        <v/>
      </c>
      <c r="M125" s="3">
        <f>M121*M124*M123-M123</f>
        <v/>
      </c>
    </row>
    <row r="127">
      <c r="A127" s="1" t="inlineStr">
        <is>
          <t>La Liga</t>
        </is>
      </c>
      <c r="C127" s="1" t="inlineStr">
        <is>
          <t>Win/Draw/Lose</t>
        </is>
      </c>
      <c r="E127" s="1">
        <f> 0+C134+D134+E134 + E118</f>
        <v/>
      </c>
      <c r="G127" s="1" t="inlineStr">
        <is>
          <t>1st half winner</t>
        </is>
      </c>
      <c r="I127" s="1">
        <f> 0+G134+H134+I134 + I118</f>
        <v/>
      </c>
      <c r="K127" s="1" t="inlineStr">
        <is>
          <t>2nd half winner</t>
        </is>
      </c>
      <c r="M127" s="1">
        <f> 0+K134+L134+M134 + M118</f>
        <v/>
      </c>
    </row>
    <row r="128">
      <c r="A128" t="inlineStr">
        <is>
          <t>Real Betis - Alaves</t>
        </is>
      </c>
      <c r="C128" s="2" t="inlineStr">
        <is>
          <t>W1</t>
        </is>
      </c>
      <c r="D128" s="2" t="inlineStr">
        <is>
          <t>X</t>
        </is>
      </c>
      <c r="E128" s="2" t="inlineStr">
        <is>
          <t>W2</t>
        </is>
      </c>
      <c r="G128" s="2" t="inlineStr">
        <is>
          <t>1st half W1</t>
        </is>
      </c>
      <c r="H128" s="2" t="inlineStr">
        <is>
          <t>1st half X</t>
        </is>
      </c>
      <c r="I128" s="2" t="inlineStr">
        <is>
          <t>1st half W2</t>
        </is>
      </c>
      <c r="K128" s="2" t="inlineStr">
        <is>
          <t>2st half W1</t>
        </is>
      </c>
      <c r="L128" s="2" t="inlineStr">
        <is>
          <t>2nd half X</t>
        </is>
      </c>
      <c r="M128" s="2" t="inlineStr">
        <is>
          <t>2nd half W2</t>
        </is>
      </c>
    </row>
    <row r="129">
      <c r="A129" t="inlineStr">
        <is>
          <t>App</t>
        </is>
      </c>
      <c r="C129" s="3" t="n">
        <v>1.218</v>
      </c>
      <c r="D129" s="3" t="n">
        <v>1.142</v>
      </c>
      <c r="E129" s="3" t="n">
        <v>14.121</v>
      </c>
      <c r="G129" s="3" t="n">
        <v>4.324</v>
      </c>
      <c r="H129" s="3" t="n">
        <v>2.37</v>
      </c>
      <c r="I129" s="3" t="n">
        <v>4.389</v>
      </c>
      <c r="K129" s="3" t="n">
        <v>1.078</v>
      </c>
      <c r="L129" s="3" t="n">
        <v>4.544</v>
      </c>
      <c r="M129" s="3" t="n">
        <v>11.41</v>
      </c>
    </row>
    <row r="130">
      <c r="A130" t="inlineStr">
        <is>
          <t>Bookmaker</t>
        </is>
      </c>
      <c r="C130" s="3" t="n">
        <v>0</v>
      </c>
      <c r="D130" s="3" t="n">
        <v>0</v>
      </c>
      <c r="E130" s="3" t="n">
        <v>0</v>
      </c>
      <c r="G130" s="3" t="n">
        <v>0</v>
      </c>
      <c r="H130" s="3" t="n">
        <v>0</v>
      </c>
      <c r="I130" s="3" t="n">
        <v>0</v>
      </c>
      <c r="K130" s="3" t="n">
        <v>0</v>
      </c>
      <c r="L130" s="3" t="n">
        <v>0</v>
      </c>
      <c r="M130" s="3" t="n">
        <v>0</v>
      </c>
    </row>
    <row r="131">
      <c r="A131" t="inlineStr">
        <is>
          <t>Expected payoff</t>
        </is>
      </c>
      <c r="C131" s="3">
        <f>C130/C129</f>
        <v/>
      </c>
      <c r="D131" s="3">
        <f>D130/D129</f>
        <v/>
      </c>
      <c r="E131" s="3">
        <f>E130/E129</f>
        <v/>
      </c>
      <c r="G131" s="3">
        <f>G130/G129</f>
        <v/>
      </c>
      <c r="H131" s="3">
        <f>H130/H129</f>
        <v/>
      </c>
      <c r="I131" s="3">
        <f>I130/I129</f>
        <v/>
      </c>
      <c r="K131" s="3">
        <f>K130/K129</f>
        <v/>
      </c>
      <c r="L131" s="3">
        <f>L130/L129</f>
        <v/>
      </c>
      <c r="M131" s="3">
        <f>M130/M129</f>
        <v/>
      </c>
    </row>
    <row r="132">
      <c r="A132" t="inlineStr">
        <is>
          <t>Bet</t>
        </is>
      </c>
      <c r="C132" s="3" t="n">
        <v>0</v>
      </c>
      <c r="D132" s="3" t="n">
        <v>0</v>
      </c>
      <c r="E132" s="3" t="n">
        <v>0</v>
      </c>
      <c r="G132" s="3" t="n">
        <v>0</v>
      </c>
      <c r="H132" s="3" t="n">
        <v>0</v>
      </c>
      <c r="I132" s="3" t="n">
        <v>0</v>
      </c>
      <c r="K132" s="3" t="n">
        <v>0</v>
      </c>
      <c r="L132" s="3" t="n">
        <v>0</v>
      </c>
      <c r="M132" s="3" t="n">
        <v>0</v>
      </c>
    </row>
    <row r="133">
      <c r="A133" t="inlineStr">
        <is>
          <t>Match result</t>
        </is>
      </c>
      <c r="C133" s="3" t="n">
        <v>0</v>
      </c>
      <c r="D133" s="3" t="n">
        <v>0</v>
      </c>
      <c r="E133" s="3" t="n">
        <v>0</v>
      </c>
      <c r="G133" s="3" t="n">
        <v>0</v>
      </c>
      <c r="H133" s="3" t="n">
        <v>0</v>
      </c>
      <c r="I133" s="3" t="n">
        <v>0</v>
      </c>
      <c r="K133" s="3" t="n">
        <v>0</v>
      </c>
      <c r="L133" s="3" t="n">
        <v>0</v>
      </c>
      <c r="M133" s="3" t="n">
        <v>0</v>
      </c>
    </row>
    <row r="134">
      <c r="A134" t="inlineStr">
        <is>
          <t>Income</t>
        </is>
      </c>
      <c r="C134" s="3">
        <f>C130*C133*C132-C132</f>
        <v/>
      </c>
      <c r="D134" s="3">
        <f>D130*D133*D132-D132</f>
        <v/>
      </c>
      <c r="E134" s="3">
        <f>E130*E133*E132-E132</f>
        <v/>
      </c>
      <c r="G134" s="3">
        <f>G130*G133*G132-G132</f>
        <v/>
      </c>
      <c r="H134" s="3">
        <f>H130*H133*H132-H132</f>
        <v/>
      </c>
      <c r="I134" s="3">
        <f>I130*I133*I132-I132</f>
        <v/>
      </c>
      <c r="K134" s="3">
        <f>K130*K133*K132-K132</f>
        <v/>
      </c>
      <c r="L134" s="3">
        <f>L130*L133*L132-L132</f>
        <v/>
      </c>
      <c r="M134" s="3">
        <f>M130*M133*M132-M132</f>
        <v/>
      </c>
    </row>
    <row r="136">
      <c r="A136" s="1" t="inlineStr">
        <is>
          <t>La Liga</t>
        </is>
      </c>
      <c r="C136" s="1" t="inlineStr">
        <is>
          <t>Win/Draw/Lose</t>
        </is>
      </c>
      <c r="E136" s="1">
        <f> 0+C143+D143+E143 + E127</f>
        <v/>
      </c>
      <c r="G136" s="1" t="inlineStr">
        <is>
          <t>1st half winner</t>
        </is>
      </c>
      <c r="I136" s="1">
        <f> 0+G143+H143+I143 + I127</f>
        <v/>
      </c>
      <c r="K136" s="1" t="inlineStr">
        <is>
          <t>2nd half winner</t>
        </is>
      </c>
      <c r="M136" s="1">
        <f> 0+K143+L143+M143 + M127</f>
        <v/>
      </c>
    </row>
    <row r="137">
      <c r="A137" t="inlineStr">
        <is>
          <t>Getafe - Barcelona</t>
        </is>
      </c>
      <c r="C137" s="2" t="inlineStr">
        <is>
          <t>W1</t>
        </is>
      </c>
      <c r="D137" s="2" t="inlineStr">
        <is>
          <t>X</t>
        </is>
      </c>
      <c r="E137" s="2" t="inlineStr">
        <is>
          <t>W2</t>
        </is>
      </c>
      <c r="G137" s="2" t="inlineStr">
        <is>
          <t>1st half W1</t>
        </is>
      </c>
      <c r="H137" s="2" t="inlineStr">
        <is>
          <t>1st half X</t>
        </is>
      </c>
      <c r="I137" s="2" t="inlineStr">
        <is>
          <t>1st half W2</t>
        </is>
      </c>
      <c r="K137" s="2" t="inlineStr">
        <is>
          <t>2st half W1</t>
        </is>
      </c>
      <c r="L137" s="2" t="inlineStr">
        <is>
          <t>2nd half X</t>
        </is>
      </c>
      <c r="M137" s="2" t="inlineStr">
        <is>
          <t>2nd half W2</t>
        </is>
      </c>
    </row>
    <row r="138">
      <c r="A138" t="inlineStr">
        <is>
          <t>App</t>
        </is>
      </c>
      <c r="C138" s="3" t="n">
        <v>4.853</v>
      </c>
      <c r="D138" s="3" t="n">
        <v>9.303000000000001</v>
      </c>
      <c r="E138" s="3" t="n">
        <v>2.092</v>
      </c>
      <c r="G138" s="3" t="n">
        <v>6.836</v>
      </c>
      <c r="H138" s="3" t="n">
        <v>3.524</v>
      </c>
      <c r="I138" s="3" t="n">
        <v>6.983</v>
      </c>
      <c r="K138" s="3" t="n">
        <v>5.772</v>
      </c>
      <c r="L138" s="3" t="n">
        <v>9.148</v>
      </c>
      <c r="M138" s="3" t="n">
        <v>3.546</v>
      </c>
    </row>
    <row r="139">
      <c r="A139" t="inlineStr">
        <is>
          <t>Bookmaker</t>
        </is>
      </c>
      <c r="C139" s="3" t="n">
        <v>0</v>
      </c>
      <c r="D139" s="3" t="n">
        <v>0</v>
      </c>
      <c r="E139" s="3" t="n">
        <v>0</v>
      </c>
      <c r="G139" s="3" t="n">
        <v>0</v>
      </c>
      <c r="H139" s="3" t="n">
        <v>0</v>
      </c>
      <c r="I139" s="3" t="n">
        <v>0</v>
      </c>
      <c r="K139" s="3" t="n">
        <v>0</v>
      </c>
      <c r="L139" s="3" t="n">
        <v>0</v>
      </c>
      <c r="M139" s="3" t="n">
        <v>0</v>
      </c>
    </row>
    <row r="140">
      <c r="A140" t="inlineStr">
        <is>
          <t>Expected payoff</t>
        </is>
      </c>
      <c r="C140" s="3">
        <f>C139/C138</f>
        <v/>
      </c>
      <c r="D140" s="3">
        <f>D139/D138</f>
        <v/>
      </c>
      <c r="E140" s="3">
        <f>E139/E138</f>
        <v/>
      </c>
      <c r="G140" s="3">
        <f>G139/G138</f>
        <v/>
      </c>
      <c r="H140" s="3">
        <f>H139/H138</f>
        <v/>
      </c>
      <c r="I140" s="3">
        <f>I139/I138</f>
        <v/>
      </c>
      <c r="K140" s="3">
        <f>K139/K138</f>
        <v/>
      </c>
      <c r="L140" s="3">
        <f>L139/L138</f>
        <v/>
      </c>
      <c r="M140" s="3">
        <f>M139/M138</f>
        <v/>
      </c>
    </row>
    <row r="141">
      <c r="A141" t="inlineStr">
        <is>
          <t>Bet</t>
        </is>
      </c>
      <c r="C141" s="3" t="n">
        <v>0</v>
      </c>
      <c r="D141" s="3" t="n">
        <v>0</v>
      </c>
      <c r="E141" s="3" t="n">
        <v>0</v>
      </c>
      <c r="G141" s="3" t="n">
        <v>0</v>
      </c>
      <c r="H141" s="3" t="n">
        <v>0</v>
      </c>
      <c r="I141" s="3" t="n">
        <v>0</v>
      </c>
      <c r="K141" s="3" t="n">
        <v>0</v>
      </c>
      <c r="L141" s="3" t="n">
        <v>0</v>
      </c>
      <c r="M141" s="3" t="n">
        <v>0</v>
      </c>
    </row>
    <row r="142">
      <c r="A142" t="inlineStr">
        <is>
          <t>Match result</t>
        </is>
      </c>
      <c r="C142" s="3" t="n">
        <v>0</v>
      </c>
      <c r="D142" s="3" t="n">
        <v>0</v>
      </c>
      <c r="E142" s="3" t="n">
        <v>0</v>
      </c>
      <c r="G142" s="3" t="n">
        <v>0</v>
      </c>
      <c r="H142" s="3" t="n">
        <v>0</v>
      </c>
      <c r="I142" s="3" t="n">
        <v>0</v>
      </c>
      <c r="K142" s="3" t="n">
        <v>0</v>
      </c>
      <c r="L142" s="3" t="n">
        <v>0</v>
      </c>
      <c r="M142" s="3" t="n">
        <v>0</v>
      </c>
    </row>
    <row r="143">
      <c r="A143" t="inlineStr">
        <is>
          <t>Income</t>
        </is>
      </c>
      <c r="C143" s="3">
        <f>C139*C142*C141-C141</f>
        <v/>
      </c>
      <c r="D143" s="3">
        <f>D139*D142*D141-D141</f>
        <v/>
      </c>
      <c r="E143" s="3">
        <f>E139*E142*E141-E141</f>
        <v/>
      </c>
      <c r="G143" s="3">
        <f>G139*G142*G141-G141</f>
        <v/>
      </c>
      <c r="H143" s="3">
        <f>H139*H142*H141-H141</f>
        <v/>
      </c>
      <c r="I143" s="3">
        <f>I139*I142*I141-I141</f>
        <v/>
      </c>
      <c r="K143" s="3">
        <f>K139*K142*K141-K141</f>
        <v/>
      </c>
      <c r="L143" s="3">
        <f>L139*L142*L141-L141</f>
        <v/>
      </c>
      <c r="M143" s="3">
        <f>M139*M142*M141-M141</f>
        <v/>
      </c>
    </row>
    <row r="145">
      <c r="A145" s="1" t="inlineStr">
        <is>
          <t>La Liga</t>
        </is>
      </c>
      <c r="C145" s="1" t="inlineStr">
        <is>
          <t>Win/Draw/Lose</t>
        </is>
      </c>
      <c r="E145" s="1">
        <f> 0+C152+D152+E152 + E136</f>
        <v/>
      </c>
      <c r="G145" s="1" t="inlineStr">
        <is>
          <t>1st half winner</t>
        </is>
      </c>
      <c r="I145" s="1">
        <f> 0+G152+H152+I152 + I136</f>
        <v/>
      </c>
      <c r="K145" s="1" t="inlineStr">
        <is>
          <t>2nd half winner</t>
        </is>
      </c>
      <c r="M145" s="1">
        <f> 0+K152+L152+M152 + M136</f>
        <v/>
      </c>
    </row>
    <row r="146">
      <c r="A146" t="inlineStr">
        <is>
          <t>Celta Vigo - Athletic Club</t>
        </is>
      </c>
      <c r="C146" s="2" t="inlineStr">
        <is>
          <t>W1</t>
        </is>
      </c>
      <c r="D146" s="2" t="inlineStr">
        <is>
          <t>X</t>
        </is>
      </c>
      <c r="E146" s="2" t="inlineStr">
        <is>
          <t>W2</t>
        </is>
      </c>
      <c r="G146" s="2" t="inlineStr">
        <is>
          <t>1st half W1</t>
        </is>
      </c>
      <c r="H146" s="2" t="inlineStr">
        <is>
          <t>1st half X</t>
        </is>
      </c>
      <c r="I146" s="2" t="inlineStr">
        <is>
          <t>1st half W2</t>
        </is>
      </c>
      <c r="K146" s="2" t="inlineStr">
        <is>
          <t>2st half W1</t>
        </is>
      </c>
      <c r="L146" s="2" t="inlineStr">
        <is>
          <t>2nd half X</t>
        </is>
      </c>
      <c r="M146" s="2" t="inlineStr">
        <is>
          <t>2nd half W2</t>
        </is>
      </c>
    </row>
    <row r="147">
      <c r="A147" t="inlineStr">
        <is>
          <t>App</t>
        </is>
      </c>
      <c r="C147" s="3" t="n">
        <v>4.454</v>
      </c>
      <c r="D147" s="3" t="n">
        <v>3.758</v>
      </c>
      <c r="E147" s="3" t="n">
        <v>1.644</v>
      </c>
      <c r="G147" s="3" t="n">
        <v>21.445</v>
      </c>
      <c r="H147" s="3" t="n">
        <v>3.376</v>
      </c>
      <c r="I147" s="3" t="n">
        <v>2.66</v>
      </c>
      <c r="K147" s="3" t="n">
        <v>8.853999999999999</v>
      </c>
      <c r="L147" s="3" t="n">
        <v>4.432</v>
      </c>
      <c r="M147" s="3" t="n">
        <v>2.982</v>
      </c>
    </row>
    <row r="148">
      <c r="A148" t="inlineStr">
        <is>
          <t>Bookmaker</t>
        </is>
      </c>
      <c r="C148" s="3" t="n">
        <v>0</v>
      </c>
      <c r="D148" s="3" t="n">
        <v>0</v>
      </c>
      <c r="E148" s="3" t="n">
        <v>0</v>
      </c>
      <c r="G148" s="3" t="n">
        <v>0</v>
      </c>
      <c r="H148" s="3" t="n">
        <v>0</v>
      </c>
      <c r="I148" s="3" t="n">
        <v>0</v>
      </c>
      <c r="K148" s="3" t="n">
        <v>0</v>
      </c>
      <c r="L148" s="3" t="n">
        <v>0</v>
      </c>
      <c r="M148" s="3" t="n">
        <v>0</v>
      </c>
    </row>
    <row r="149">
      <c r="A149" t="inlineStr">
        <is>
          <t>Expected payoff</t>
        </is>
      </c>
      <c r="C149" s="3">
        <f>C148/C147</f>
        <v/>
      </c>
      <c r="D149" s="3">
        <f>D148/D147</f>
        <v/>
      </c>
      <c r="E149" s="3">
        <f>E148/E147</f>
        <v/>
      </c>
      <c r="G149" s="3">
        <f>G148/G147</f>
        <v/>
      </c>
      <c r="H149" s="3">
        <f>H148/H147</f>
        <v/>
      </c>
      <c r="I149" s="3">
        <f>I148/I147</f>
        <v/>
      </c>
      <c r="K149" s="3">
        <f>K148/K147</f>
        <v/>
      </c>
      <c r="L149" s="3">
        <f>L148/L147</f>
        <v/>
      </c>
      <c r="M149" s="3">
        <f>M148/M147</f>
        <v/>
      </c>
    </row>
    <row r="150">
      <c r="A150" t="inlineStr">
        <is>
          <t>Bet</t>
        </is>
      </c>
      <c r="C150" s="3" t="n">
        <v>0</v>
      </c>
      <c r="D150" s="3" t="n">
        <v>0</v>
      </c>
      <c r="E150" s="3" t="n">
        <v>0</v>
      </c>
      <c r="G150" s="3" t="n">
        <v>0</v>
      </c>
      <c r="H150" s="3" t="n">
        <v>0</v>
      </c>
      <c r="I150" s="3" t="n">
        <v>0</v>
      </c>
      <c r="K150" s="3" t="n">
        <v>0</v>
      </c>
      <c r="L150" s="3" t="n">
        <v>0</v>
      </c>
      <c r="M150" s="3" t="n">
        <v>0</v>
      </c>
    </row>
    <row r="151">
      <c r="A151" t="inlineStr">
        <is>
          <t>Match result</t>
        </is>
      </c>
      <c r="C151" s="3" t="n">
        <v>0</v>
      </c>
      <c r="D151" s="3" t="n">
        <v>0</v>
      </c>
      <c r="E151" s="3" t="n">
        <v>0</v>
      </c>
      <c r="G151" s="3" t="n">
        <v>0</v>
      </c>
      <c r="H151" s="3" t="n">
        <v>0</v>
      </c>
      <c r="I151" s="3" t="n">
        <v>0</v>
      </c>
      <c r="K151" s="3" t="n">
        <v>0</v>
      </c>
      <c r="L151" s="3" t="n">
        <v>0</v>
      </c>
      <c r="M151" s="3" t="n">
        <v>0</v>
      </c>
    </row>
    <row r="152">
      <c r="A152" t="inlineStr">
        <is>
          <t>Income</t>
        </is>
      </c>
      <c r="C152" s="3">
        <f>C148*C151*C150-C150</f>
        <v/>
      </c>
      <c r="D152" s="3">
        <f>D148*D151*D150-D150</f>
        <v/>
      </c>
      <c r="E152" s="3">
        <f>E148*E151*E150-E150</f>
        <v/>
      </c>
      <c r="G152" s="3">
        <f>G148*G151*G150-G150</f>
        <v/>
      </c>
      <c r="H152" s="3">
        <f>H148*H151*H150-H150</f>
        <v/>
      </c>
      <c r="I152" s="3">
        <f>I148*I151*I150-I150</f>
        <v/>
      </c>
      <c r="K152" s="3">
        <f>K148*K151*K150-K150</f>
        <v/>
      </c>
      <c r="L152" s="3">
        <f>L148*L151*L150-L150</f>
        <v/>
      </c>
      <c r="M152" s="3">
        <f>M148*M151*M150-M150</f>
        <v/>
      </c>
    </row>
    <row r="154">
      <c r="A154" s="1" t="inlineStr">
        <is>
          <t>La Liga</t>
        </is>
      </c>
      <c r="C154" s="1" t="inlineStr">
        <is>
          <t>Win/Draw/Lose</t>
        </is>
      </c>
      <c r="E154" s="1">
        <f> 0+C161+D161+E161 + E145</f>
        <v/>
      </c>
      <c r="G154" s="1" t="inlineStr">
        <is>
          <t>1st half winner</t>
        </is>
      </c>
      <c r="I154" s="1">
        <f> 0+G161+H161+I161 + I145</f>
        <v/>
      </c>
      <c r="K154" s="1" t="inlineStr">
        <is>
          <t>2nd half winner</t>
        </is>
      </c>
      <c r="M154" s="1">
        <f> 0+K161+L161+M161 + M145</f>
        <v/>
      </c>
    </row>
    <row r="155">
      <c r="A155" t="inlineStr">
        <is>
          <t>Real Madrid - Las Palmas</t>
        </is>
      </c>
      <c r="C155" s="2" t="inlineStr">
        <is>
          <t>W1</t>
        </is>
      </c>
      <c r="D155" s="2" t="inlineStr">
        <is>
          <t>X</t>
        </is>
      </c>
      <c r="E155" s="2" t="inlineStr">
        <is>
          <t>W2</t>
        </is>
      </c>
      <c r="G155" s="2" t="inlineStr">
        <is>
          <t>1st half W1</t>
        </is>
      </c>
      <c r="H155" s="2" t="inlineStr">
        <is>
          <t>1st half X</t>
        </is>
      </c>
      <c r="I155" s="2" t="inlineStr">
        <is>
          <t>1st half W2</t>
        </is>
      </c>
      <c r="K155" s="2" t="inlineStr">
        <is>
          <t>2st half W1</t>
        </is>
      </c>
      <c r="L155" s="2" t="inlineStr">
        <is>
          <t>2nd half X</t>
        </is>
      </c>
      <c r="M155" s="2" t="inlineStr">
        <is>
          <t>2nd half W2</t>
        </is>
      </c>
    </row>
    <row r="156">
      <c r="A156" t="inlineStr">
        <is>
          <t>App</t>
        </is>
      </c>
      <c r="C156" s="3" t="n">
        <v>1.677</v>
      </c>
      <c r="D156" s="3" t="n">
        <v>70.176</v>
      </c>
      <c r="E156" s="3" t="n">
        <v>13.676</v>
      </c>
      <c r="G156" s="3" t="n">
        <v>1.881</v>
      </c>
      <c r="H156" s="3" t="n">
        <v>5.838</v>
      </c>
      <c r="I156" s="3" t="n">
        <v>5.189</v>
      </c>
      <c r="K156" s="3" t="n">
        <v>1.386</v>
      </c>
      <c r="L156" s="3" t="n">
        <v>2.77</v>
      </c>
      <c r="M156" s="3" t="n">
        <v>3.384</v>
      </c>
    </row>
    <row r="157">
      <c r="A157" t="inlineStr">
        <is>
          <t>Bookmaker</t>
        </is>
      </c>
      <c r="C157" s="3" t="n">
        <v>0</v>
      </c>
      <c r="D157" s="3" t="n">
        <v>0</v>
      </c>
      <c r="E157" s="3" t="n">
        <v>0</v>
      </c>
      <c r="G157" s="3" t="n">
        <v>0</v>
      </c>
      <c r="H157" s="3" t="n">
        <v>0</v>
      </c>
      <c r="I157" s="3" t="n">
        <v>0</v>
      </c>
      <c r="K157" s="3" t="n">
        <v>0</v>
      </c>
      <c r="L157" s="3" t="n">
        <v>0</v>
      </c>
      <c r="M157" s="3" t="n">
        <v>0</v>
      </c>
    </row>
    <row r="158">
      <c r="A158" t="inlineStr">
        <is>
          <t>Expected payoff</t>
        </is>
      </c>
      <c r="C158" s="3">
        <f>C157/C156</f>
        <v/>
      </c>
      <c r="D158" s="3">
        <f>D157/D156</f>
        <v/>
      </c>
      <c r="E158" s="3">
        <f>E157/E156</f>
        <v/>
      </c>
      <c r="G158" s="3">
        <f>G157/G156</f>
        <v/>
      </c>
      <c r="H158" s="3">
        <f>H157/H156</f>
        <v/>
      </c>
      <c r="I158" s="3">
        <f>I157/I156</f>
        <v/>
      </c>
      <c r="K158" s="3">
        <f>K157/K156</f>
        <v/>
      </c>
      <c r="L158" s="3">
        <f>L157/L156</f>
        <v/>
      </c>
      <c r="M158" s="3">
        <f>M157/M156</f>
        <v/>
      </c>
    </row>
    <row r="159">
      <c r="A159" t="inlineStr">
        <is>
          <t>Bet</t>
        </is>
      </c>
      <c r="C159" s="3" t="n">
        <v>0</v>
      </c>
      <c r="D159" s="3" t="n">
        <v>0</v>
      </c>
      <c r="E159" s="3" t="n">
        <v>0</v>
      </c>
      <c r="G159" s="3" t="n">
        <v>0</v>
      </c>
      <c r="H159" s="3" t="n">
        <v>0</v>
      </c>
      <c r="I159" s="3" t="n">
        <v>0</v>
      </c>
      <c r="K159" s="3" t="n">
        <v>0</v>
      </c>
      <c r="L159" s="3" t="n">
        <v>0</v>
      </c>
      <c r="M159" s="3" t="n">
        <v>0</v>
      </c>
    </row>
    <row r="160">
      <c r="A160" t="inlineStr">
        <is>
          <t>Match result</t>
        </is>
      </c>
      <c r="C160" s="3" t="n">
        <v>0</v>
      </c>
      <c r="D160" s="3" t="n">
        <v>0</v>
      </c>
      <c r="E160" s="3" t="n">
        <v>0</v>
      </c>
      <c r="G160" s="3" t="n">
        <v>0</v>
      </c>
      <c r="H160" s="3" t="n">
        <v>0</v>
      </c>
      <c r="I160" s="3" t="n">
        <v>0</v>
      </c>
      <c r="K160" s="3" t="n">
        <v>0</v>
      </c>
      <c r="L160" s="3" t="n">
        <v>0</v>
      </c>
      <c r="M160" s="3" t="n">
        <v>0</v>
      </c>
    </row>
    <row r="161">
      <c r="A161" t="inlineStr">
        <is>
          <t>Income</t>
        </is>
      </c>
      <c r="C161" s="3">
        <f>C157*C160*C159-C159</f>
        <v/>
      </c>
      <c r="D161" s="3">
        <f>D157*D160*D159-D159</f>
        <v/>
      </c>
      <c r="E161" s="3">
        <f>E157*E160*E159-E159</f>
        <v/>
      </c>
      <c r="G161" s="3">
        <f>G157*G160*G159-G159</f>
        <v/>
      </c>
      <c r="H161" s="3">
        <f>H157*H160*H159-H159</f>
        <v/>
      </c>
      <c r="I161" s="3">
        <f>I157*I160*I159-I159</f>
        <v/>
      </c>
      <c r="K161" s="3">
        <f>K157*K160*K159-K159</f>
        <v/>
      </c>
      <c r="L161" s="3">
        <f>L157*L160*L159-L159</f>
        <v/>
      </c>
      <c r="M161" s="3">
        <f>M157*M160*M159-M159</f>
        <v/>
      </c>
    </row>
    <row r="163">
      <c r="A163" s="1" t="inlineStr">
        <is>
          <t>La Liga</t>
        </is>
      </c>
      <c r="C163" s="1" t="inlineStr">
        <is>
          <t>Win/Draw/Lose</t>
        </is>
      </c>
      <c r="E163" s="1">
        <f> 0+C170+D170+E170 + E154</f>
        <v/>
      </c>
      <c r="G163" s="1" t="inlineStr">
        <is>
          <t>1st half winner</t>
        </is>
      </c>
      <c r="I163" s="1">
        <f> 0+G170+H170+I170 + I154</f>
        <v/>
      </c>
      <c r="K163" s="1" t="inlineStr">
        <is>
          <t>2nd half winner</t>
        </is>
      </c>
      <c r="M163" s="1">
        <f> 0+K170+L170+M170 + M154</f>
        <v/>
      </c>
    </row>
    <row r="164">
      <c r="A164" t="inlineStr">
        <is>
          <t>Osasuna - Rayo Vallecano</t>
        </is>
      </c>
      <c r="C164" s="2" t="inlineStr">
        <is>
          <t>W1</t>
        </is>
      </c>
      <c r="D164" s="2" t="inlineStr">
        <is>
          <t>X</t>
        </is>
      </c>
      <c r="E164" s="2" t="inlineStr">
        <is>
          <t>W2</t>
        </is>
      </c>
      <c r="G164" s="2" t="inlineStr">
        <is>
          <t>1st half W1</t>
        </is>
      </c>
      <c r="H164" s="2" t="inlineStr">
        <is>
          <t>1st half X</t>
        </is>
      </c>
      <c r="I164" s="2" t="inlineStr">
        <is>
          <t>1st half W2</t>
        </is>
      </c>
      <c r="K164" s="2" t="inlineStr">
        <is>
          <t>2st half W1</t>
        </is>
      </c>
      <c r="L164" s="2" t="inlineStr">
        <is>
          <t>2nd half X</t>
        </is>
      </c>
      <c r="M164" s="2" t="inlineStr">
        <is>
          <t>2nd half W2</t>
        </is>
      </c>
    </row>
    <row r="165">
      <c r="A165" t="inlineStr">
        <is>
          <t>App</t>
        </is>
      </c>
      <c r="C165" s="3" t="n">
        <v>2.78</v>
      </c>
      <c r="D165" s="3" t="n">
        <v>7.742</v>
      </c>
      <c r="E165" s="3" t="n">
        <v>4.365</v>
      </c>
      <c r="G165" s="3" t="n">
        <v>4.9</v>
      </c>
      <c r="H165" s="3" t="n">
        <v>1.984</v>
      </c>
      <c r="I165" s="3" t="n">
        <v>2.608</v>
      </c>
      <c r="K165" s="3" t="n">
        <v>5.009</v>
      </c>
      <c r="L165" s="3" t="n">
        <v>18.154</v>
      </c>
      <c r="M165" s="3" t="n">
        <v>15.362</v>
      </c>
    </row>
    <row r="166">
      <c r="A166" t="inlineStr">
        <is>
          <t>Bookmaker</t>
        </is>
      </c>
      <c r="C166" s="3" t="n">
        <v>0</v>
      </c>
      <c r="D166" s="3" t="n">
        <v>0</v>
      </c>
      <c r="E166" s="3" t="n">
        <v>0</v>
      </c>
      <c r="G166" s="3" t="n">
        <v>0</v>
      </c>
      <c r="H166" s="3" t="n">
        <v>0</v>
      </c>
      <c r="I166" s="3" t="n">
        <v>0</v>
      </c>
      <c r="K166" s="3" t="n">
        <v>0</v>
      </c>
      <c r="L166" s="3" t="n">
        <v>0</v>
      </c>
      <c r="M166" s="3" t="n">
        <v>0</v>
      </c>
    </row>
    <row r="167">
      <c r="A167" t="inlineStr">
        <is>
          <t>Expected payoff</t>
        </is>
      </c>
      <c r="C167" s="3">
        <f>C166/C165</f>
        <v/>
      </c>
      <c r="D167" s="3">
        <f>D166/D165</f>
        <v/>
      </c>
      <c r="E167" s="3">
        <f>E166/E165</f>
        <v/>
      </c>
      <c r="G167" s="3">
        <f>G166/G165</f>
        <v/>
      </c>
      <c r="H167" s="3">
        <f>H166/H165</f>
        <v/>
      </c>
      <c r="I167" s="3">
        <f>I166/I165</f>
        <v/>
      </c>
      <c r="K167" s="3">
        <f>K166/K165</f>
        <v/>
      </c>
      <c r="L167" s="3">
        <f>L166/L165</f>
        <v/>
      </c>
      <c r="M167" s="3">
        <f>M166/M165</f>
        <v/>
      </c>
    </row>
    <row r="168">
      <c r="A168" t="inlineStr">
        <is>
          <t>Bet</t>
        </is>
      </c>
      <c r="C168" s="3" t="n">
        <v>0</v>
      </c>
      <c r="D168" s="3" t="n">
        <v>0</v>
      </c>
      <c r="E168" s="3" t="n">
        <v>0</v>
      </c>
      <c r="G168" s="3" t="n">
        <v>0</v>
      </c>
      <c r="H168" s="3" t="n">
        <v>0</v>
      </c>
      <c r="I168" s="3" t="n">
        <v>0</v>
      </c>
      <c r="K168" s="3" t="n">
        <v>0</v>
      </c>
      <c r="L168" s="3" t="n">
        <v>0</v>
      </c>
      <c r="M168" s="3" t="n">
        <v>0</v>
      </c>
    </row>
    <row r="169">
      <c r="A169" t="inlineStr">
        <is>
          <t>Match result</t>
        </is>
      </c>
      <c r="C169" s="3" t="n">
        <v>0</v>
      </c>
      <c r="D169" s="3" t="n">
        <v>0</v>
      </c>
      <c r="E169" s="3" t="n">
        <v>0</v>
      </c>
      <c r="G169" s="3" t="n">
        <v>0</v>
      </c>
      <c r="H169" s="3" t="n">
        <v>0</v>
      </c>
      <c r="I169" s="3" t="n">
        <v>0</v>
      </c>
      <c r="K169" s="3" t="n">
        <v>0</v>
      </c>
      <c r="L169" s="3" t="n">
        <v>0</v>
      </c>
      <c r="M169" s="3" t="n">
        <v>0</v>
      </c>
    </row>
    <row r="170">
      <c r="A170" t="inlineStr">
        <is>
          <t>Income</t>
        </is>
      </c>
      <c r="C170" s="3">
        <f>C166*C169*C168-C168</f>
        <v/>
      </c>
      <c r="D170" s="3">
        <f>D166*D169*D168-D168</f>
        <v/>
      </c>
      <c r="E170" s="3">
        <f>E166*E169*E168-E168</f>
        <v/>
      </c>
      <c r="G170" s="3">
        <f>G166*G169*G168-G168</f>
        <v/>
      </c>
      <c r="H170" s="3">
        <f>H166*H169*H168-H168</f>
        <v/>
      </c>
      <c r="I170" s="3">
        <f>I166*I169*I168-I168</f>
        <v/>
      </c>
      <c r="K170" s="3">
        <f>K166*K169*K168-K168</f>
        <v/>
      </c>
      <c r="L170" s="3">
        <f>L166*L169*L168-L168</f>
        <v/>
      </c>
      <c r="M170" s="3">
        <f>M166*M169*M168-M168</f>
        <v/>
      </c>
    </row>
    <row r="172">
      <c r="A172" s="1" t="inlineStr">
        <is>
          <t>La Liga</t>
        </is>
      </c>
      <c r="C172" s="1" t="inlineStr">
        <is>
          <t>Win/Draw/Lose</t>
        </is>
      </c>
      <c r="E172" s="1">
        <f> 0+C179+D179+E179 + E163</f>
        <v/>
      </c>
      <c r="G172" s="1" t="inlineStr">
        <is>
          <t>1st half winner</t>
        </is>
      </c>
      <c r="I172" s="1">
        <f> 0+G179+H179+I179 + I163</f>
        <v/>
      </c>
      <c r="K172" s="1" t="inlineStr">
        <is>
          <t>2nd half winner</t>
        </is>
      </c>
      <c r="M172" s="1">
        <f> 0+K179+L179+M179 + M163</f>
        <v/>
      </c>
    </row>
    <row r="173">
      <c r="A173" t="inlineStr">
        <is>
          <t>Valencia - Real Sociedad</t>
        </is>
      </c>
      <c r="C173" s="2" t="inlineStr">
        <is>
          <t>W1</t>
        </is>
      </c>
      <c r="D173" s="2" t="inlineStr">
        <is>
          <t>X</t>
        </is>
      </c>
      <c r="E173" s="2" t="inlineStr">
        <is>
          <t>W2</t>
        </is>
      </c>
      <c r="G173" s="2" t="inlineStr">
        <is>
          <t>1st half W1</t>
        </is>
      </c>
      <c r="H173" s="2" t="inlineStr">
        <is>
          <t>1st half X</t>
        </is>
      </c>
      <c r="I173" s="2" t="inlineStr">
        <is>
          <t>1st half W2</t>
        </is>
      </c>
      <c r="K173" s="2" t="inlineStr">
        <is>
          <t>2st half W1</t>
        </is>
      </c>
      <c r="L173" s="2" t="inlineStr">
        <is>
          <t>2nd half X</t>
        </is>
      </c>
      <c r="M173" s="2" t="inlineStr">
        <is>
          <t>2nd half W2</t>
        </is>
      </c>
    </row>
    <row r="174">
      <c r="A174" t="inlineStr">
        <is>
          <t>App</t>
        </is>
      </c>
      <c r="C174" s="3" t="n">
        <v>2.179</v>
      </c>
      <c r="D174" s="3" t="n">
        <v>1.369</v>
      </c>
      <c r="E174" s="3" t="n">
        <v>1.521</v>
      </c>
      <c r="G174" s="3" t="n">
        <v>3.922</v>
      </c>
      <c r="H174" s="3" t="n">
        <v>1.564</v>
      </c>
      <c r="I174" s="3" t="n">
        <v>24.107</v>
      </c>
      <c r="K174" s="3" t="n">
        <v>4.483</v>
      </c>
      <c r="L174" s="3" t="n">
        <v>2.403</v>
      </c>
      <c r="M174" s="3" t="n">
        <v>42.509</v>
      </c>
    </row>
    <row r="175">
      <c r="A175" t="inlineStr">
        <is>
          <t>Bookmaker</t>
        </is>
      </c>
      <c r="C175" s="3" t="n">
        <v>0</v>
      </c>
      <c r="D175" s="3" t="n">
        <v>0</v>
      </c>
      <c r="E175" s="3" t="n">
        <v>0</v>
      </c>
      <c r="G175" s="3" t="n">
        <v>0</v>
      </c>
      <c r="H175" s="3" t="n">
        <v>0</v>
      </c>
      <c r="I175" s="3" t="n">
        <v>0</v>
      </c>
      <c r="K175" s="3" t="n">
        <v>0</v>
      </c>
      <c r="L175" s="3" t="n">
        <v>0</v>
      </c>
      <c r="M175" s="3" t="n">
        <v>0</v>
      </c>
    </row>
    <row r="176">
      <c r="A176" t="inlineStr">
        <is>
          <t>Expected payoff</t>
        </is>
      </c>
      <c r="C176" s="3">
        <f>C175/C174</f>
        <v/>
      </c>
      <c r="D176" s="3">
        <f>D175/D174</f>
        <v/>
      </c>
      <c r="E176" s="3">
        <f>E175/E174</f>
        <v/>
      </c>
      <c r="G176" s="3">
        <f>G175/G174</f>
        <v/>
      </c>
      <c r="H176" s="3">
        <f>H175/H174</f>
        <v/>
      </c>
      <c r="I176" s="3">
        <f>I175/I174</f>
        <v/>
      </c>
      <c r="K176" s="3">
        <f>K175/K174</f>
        <v/>
      </c>
      <c r="L176" s="3">
        <f>L175/L174</f>
        <v/>
      </c>
      <c r="M176" s="3">
        <f>M175/M174</f>
        <v/>
      </c>
    </row>
    <row r="177">
      <c r="A177" t="inlineStr">
        <is>
          <t>Bet</t>
        </is>
      </c>
      <c r="C177" s="3" t="n">
        <v>0</v>
      </c>
      <c r="D177" s="3" t="n">
        <v>0</v>
      </c>
      <c r="E177" s="3" t="n">
        <v>0</v>
      </c>
      <c r="G177" s="3" t="n">
        <v>0</v>
      </c>
      <c r="H177" s="3" t="n">
        <v>0</v>
      </c>
      <c r="I177" s="3" t="n">
        <v>0</v>
      </c>
      <c r="K177" s="3" t="n">
        <v>0</v>
      </c>
      <c r="L177" s="3" t="n">
        <v>0</v>
      </c>
      <c r="M177" s="3" t="n">
        <v>0</v>
      </c>
    </row>
    <row r="178">
      <c r="A178" t="inlineStr">
        <is>
          <t>Match result</t>
        </is>
      </c>
      <c r="C178" s="3" t="n">
        <v>0</v>
      </c>
      <c r="D178" s="3" t="n">
        <v>0</v>
      </c>
      <c r="E178" s="3" t="n">
        <v>0</v>
      </c>
      <c r="G178" s="3" t="n">
        <v>0</v>
      </c>
      <c r="H178" s="3" t="n">
        <v>0</v>
      </c>
      <c r="I178" s="3" t="n">
        <v>0</v>
      </c>
      <c r="K178" s="3" t="n">
        <v>0</v>
      </c>
      <c r="L178" s="3" t="n">
        <v>0</v>
      </c>
      <c r="M178" s="3" t="n">
        <v>0</v>
      </c>
    </row>
    <row r="179">
      <c r="A179" t="inlineStr">
        <is>
          <t>Income</t>
        </is>
      </c>
      <c r="C179" s="3">
        <f>C175*C178*C177-C177</f>
        <v/>
      </c>
      <c r="D179" s="3">
        <f>D175*D178*D177-D177</f>
        <v/>
      </c>
      <c r="E179" s="3">
        <f>E175*E178*E177-E177</f>
        <v/>
      </c>
      <c r="G179" s="3">
        <f>G175*G178*G177-G177</f>
        <v/>
      </c>
      <c r="H179" s="3">
        <f>H175*H178*H177-H177</f>
        <v/>
      </c>
      <c r="I179" s="3">
        <f>I175*I178*I177-I177</f>
        <v/>
      </c>
      <c r="K179" s="3">
        <f>K175*K178*K177-K177</f>
        <v/>
      </c>
      <c r="L179" s="3">
        <f>L175*L178*L177-L177</f>
        <v/>
      </c>
      <c r="M179" s="3">
        <f>M175*M178*M177-M177</f>
        <v/>
      </c>
    </row>
    <row r="181">
      <c r="A181" s="1" t="inlineStr">
        <is>
          <t>La Liga</t>
        </is>
      </c>
      <c r="C181" s="1" t="inlineStr">
        <is>
          <t>Win/Draw/Lose</t>
        </is>
      </c>
      <c r="E181" s="1">
        <f> 0+C188+D188+E188 + E172</f>
        <v/>
      </c>
      <c r="G181" s="1" t="inlineStr">
        <is>
          <t>1st half winner</t>
        </is>
      </c>
      <c r="I181" s="1">
        <f> 0+G188+H188+I188 + I172</f>
        <v/>
      </c>
      <c r="K181" s="1" t="inlineStr">
        <is>
          <t>2nd half winner</t>
        </is>
      </c>
      <c r="M181" s="1">
        <f> 0+K188+L188+M188 + M172</f>
        <v/>
      </c>
    </row>
    <row r="182">
      <c r="A182" t="inlineStr">
        <is>
          <t>Villarreal - Mallorca</t>
        </is>
      </c>
      <c r="C182" s="2" t="inlineStr">
        <is>
          <t>W1</t>
        </is>
      </c>
      <c r="D182" s="2" t="inlineStr">
        <is>
          <t>X</t>
        </is>
      </c>
      <c r="E182" s="2" t="inlineStr">
        <is>
          <t>W2</t>
        </is>
      </c>
      <c r="G182" s="2" t="inlineStr">
        <is>
          <t>1st half W1</t>
        </is>
      </c>
      <c r="H182" s="2" t="inlineStr">
        <is>
          <t>1st half X</t>
        </is>
      </c>
      <c r="I182" s="2" t="inlineStr">
        <is>
          <t>1st half W2</t>
        </is>
      </c>
      <c r="K182" s="2" t="inlineStr">
        <is>
          <t>2st half W1</t>
        </is>
      </c>
      <c r="L182" s="2" t="inlineStr">
        <is>
          <t>2nd half X</t>
        </is>
      </c>
      <c r="M182" s="2" t="inlineStr">
        <is>
          <t>2nd half W2</t>
        </is>
      </c>
    </row>
    <row r="183">
      <c r="A183" t="inlineStr">
        <is>
          <t>App</t>
        </is>
      </c>
      <c r="C183" s="3" t="n">
        <v>7.867</v>
      </c>
      <c r="D183" s="3" t="n">
        <v>23.562</v>
      </c>
      <c r="E183" s="3" t="n">
        <v>1.763</v>
      </c>
      <c r="G183" s="3" t="n">
        <v>7.675</v>
      </c>
      <c r="H183" s="3" t="n">
        <v>3.014</v>
      </c>
      <c r="I183" s="3" t="n">
        <v>5.417</v>
      </c>
      <c r="K183" s="3" t="n">
        <v>1.237</v>
      </c>
      <c r="L183" s="3" t="n">
        <v>3.468</v>
      </c>
      <c r="M183" s="3" t="n">
        <v>1.39</v>
      </c>
    </row>
    <row r="184">
      <c r="A184" t="inlineStr">
        <is>
          <t>Bookmaker</t>
        </is>
      </c>
      <c r="C184" s="3" t="n">
        <v>0</v>
      </c>
      <c r="D184" s="3" t="n">
        <v>0</v>
      </c>
      <c r="E184" s="3" t="n">
        <v>0</v>
      </c>
      <c r="G184" s="3" t="n">
        <v>0</v>
      </c>
      <c r="H184" s="3" t="n">
        <v>0</v>
      </c>
      <c r="I184" s="3" t="n">
        <v>0</v>
      </c>
      <c r="K184" s="3" t="n">
        <v>0</v>
      </c>
      <c r="L184" s="3" t="n">
        <v>0</v>
      </c>
      <c r="M184" s="3" t="n">
        <v>0</v>
      </c>
    </row>
    <row r="185">
      <c r="A185" t="inlineStr">
        <is>
          <t>Expected payoff</t>
        </is>
      </c>
      <c r="C185" s="3">
        <f>C184/C183</f>
        <v/>
      </c>
      <c r="D185" s="3">
        <f>D184/D183</f>
        <v/>
      </c>
      <c r="E185" s="3">
        <f>E184/E183</f>
        <v/>
      </c>
      <c r="G185" s="3">
        <f>G184/G183</f>
        <v/>
      </c>
      <c r="H185" s="3">
        <f>H184/H183</f>
        <v/>
      </c>
      <c r="I185" s="3">
        <f>I184/I183</f>
        <v/>
      </c>
      <c r="K185" s="3">
        <f>K184/K183</f>
        <v/>
      </c>
      <c r="L185" s="3">
        <f>L184/L183</f>
        <v/>
      </c>
      <c r="M185" s="3">
        <f>M184/M183</f>
        <v/>
      </c>
    </row>
    <row r="186">
      <c r="A186" t="inlineStr">
        <is>
          <t>Bet</t>
        </is>
      </c>
      <c r="C186" s="3" t="n">
        <v>0</v>
      </c>
      <c r="D186" s="3" t="n">
        <v>0</v>
      </c>
      <c r="E186" s="3" t="n">
        <v>0</v>
      </c>
      <c r="G186" s="3" t="n">
        <v>0</v>
      </c>
      <c r="H186" s="3" t="n">
        <v>0</v>
      </c>
      <c r="I186" s="3" t="n">
        <v>0</v>
      </c>
      <c r="K186" s="3" t="n">
        <v>0</v>
      </c>
      <c r="L186" s="3" t="n">
        <v>0</v>
      </c>
      <c r="M186" s="3" t="n">
        <v>0</v>
      </c>
    </row>
    <row r="187">
      <c r="A187" t="inlineStr">
        <is>
          <t>Match result</t>
        </is>
      </c>
      <c r="C187" s="3" t="n">
        <v>0</v>
      </c>
      <c r="D187" s="3" t="n">
        <v>0</v>
      </c>
      <c r="E187" s="3" t="n">
        <v>0</v>
      </c>
      <c r="G187" s="3" t="n">
        <v>0</v>
      </c>
      <c r="H187" s="3" t="n">
        <v>0</v>
      </c>
      <c r="I187" s="3" t="n">
        <v>0</v>
      </c>
      <c r="K187" s="3" t="n">
        <v>0</v>
      </c>
      <c r="L187" s="3" t="n">
        <v>0</v>
      </c>
      <c r="M187" s="3" t="n">
        <v>0</v>
      </c>
    </row>
    <row r="188">
      <c r="A188" t="inlineStr">
        <is>
          <t>Income</t>
        </is>
      </c>
      <c r="C188" s="3">
        <f>C184*C187*C186-C186</f>
        <v/>
      </c>
      <c r="D188" s="3">
        <f>D184*D187*D186-D186</f>
        <v/>
      </c>
      <c r="E188" s="3">
        <f>E184*E187*E186-E186</f>
        <v/>
      </c>
      <c r="G188" s="3">
        <f>G184*G187*G186-G186</f>
        <v/>
      </c>
      <c r="H188" s="3">
        <f>H184*H187*H186-H186</f>
        <v/>
      </c>
      <c r="I188" s="3">
        <f>I184*I187*I186-I186</f>
        <v/>
      </c>
      <c r="K188" s="3">
        <f>K184*K187*K186-K186</f>
        <v/>
      </c>
      <c r="L188" s="3">
        <f>L184*L187*L186-L186</f>
        <v/>
      </c>
      <c r="M188" s="3">
        <f>M184*M187*M186-M186</f>
        <v/>
      </c>
    </row>
    <row r="190">
      <c r="A190" s="1" t="inlineStr">
        <is>
          <t>Bundesliga</t>
        </is>
      </c>
      <c r="C190" s="1" t="inlineStr">
        <is>
          <t>Win/Draw/Lose</t>
        </is>
      </c>
      <c r="E190" s="1">
        <f> 0+C197+D197+E197 + E181</f>
        <v/>
      </c>
      <c r="G190" s="1" t="inlineStr">
        <is>
          <t>1st half winner</t>
        </is>
      </c>
      <c r="I190" s="1">
        <f> 0+G197+H197+I197 + I181</f>
        <v/>
      </c>
      <c r="K190" s="1" t="inlineStr">
        <is>
          <t>2nd half winner</t>
        </is>
      </c>
      <c r="M190" s="1">
        <f> 0+K197+L197+M197 + M181</f>
        <v/>
      </c>
    </row>
    <row r="191">
      <c r="A191" t="inlineStr">
        <is>
          <t>Eintracht Frankfurt - SC Freiburg</t>
        </is>
      </c>
      <c r="C191" s="2" t="inlineStr">
        <is>
          <t>W1</t>
        </is>
      </c>
      <c r="D191" s="2" t="inlineStr">
        <is>
          <t>X</t>
        </is>
      </c>
      <c r="E191" s="2" t="inlineStr">
        <is>
          <t>W2</t>
        </is>
      </c>
      <c r="G191" s="2" t="inlineStr">
        <is>
          <t>1st half W1</t>
        </is>
      </c>
      <c r="H191" s="2" t="inlineStr">
        <is>
          <t>1st half X</t>
        </is>
      </c>
      <c r="I191" s="2" t="inlineStr">
        <is>
          <t>1st half W2</t>
        </is>
      </c>
      <c r="K191" s="2" t="inlineStr">
        <is>
          <t>2st half W1</t>
        </is>
      </c>
      <c r="L191" s="2" t="inlineStr">
        <is>
          <t>2nd half X</t>
        </is>
      </c>
      <c r="M191" s="2" t="inlineStr">
        <is>
          <t>2nd half W2</t>
        </is>
      </c>
    </row>
    <row r="192">
      <c r="A192" t="inlineStr">
        <is>
          <t>App</t>
        </is>
      </c>
      <c r="C192" s="3" t="n">
        <v>3.386</v>
      </c>
      <c r="D192" s="3" t="n">
        <v>6.113</v>
      </c>
      <c r="E192" s="3" t="n">
        <v>5.845</v>
      </c>
      <c r="G192" s="3" t="n">
        <v>2.895</v>
      </c>
      <c r="H192" s="3" t="n">
        <v>48.477</v>
      </c>
      <c r="I192" s="3" t="n">
        <v>4.143</v>
      </c>
      <c r="K192" s="3" t="n">
        <v>1.633</v>
      </c>
      <c r="L192" s="3" t="n">
        <v>2.86</v>
      </c>
      <c r="M192" s="3" t="n">
        <v>7.209</v>
      </c>
    </row>
    <row r="193">
      <c r="A193" t="inlineStr">
        <is>
          <t>Bookmaker</t>
        </is>
      </c>
      <c r="C193" s="3" t="n">
        <v>0</v>
      </c>
      <c r="D193" s="3" t="n">
        <v>0</v>
      </c>
      <c r="E193" s="3" t="n">
        <v>0</v>
      </c>
      <c r="G193" s="3" t="n">
        <v>0</v>
      </c>
      <c r="H193" s="3" t="n">
        <v>0</v>
      </c>
      <c r="I193" s="3" t="n">
        <v>0</v>
      </c>
      <c r="K193" s="3" t="n">
        <v>0</v>
      </c>
      <c r="L193" s="3" t="n">
        <v>0</v>
      </c>
      <c r="M193" s="3" t="n">
        <v>0</v>
      </c>
    </row>
    <row r="194">
      <c r="A194" t="inlineStr">
        <is>
          <t>Expected payoff</t>
        </is>
      </c>
      <c r="C194" s="3">
        <f>C193/C192</f>
        <v/>
      </c>
      <c r="D194" s="3">
        <f>D193/D192</f>
        <v/>
      </c>
      <c r="E194" s="3">
        <f>E193/E192</f>
        <v/>
      </c>
      <c r="G194" s="3">
        <f>G193/G192</f>
        <v/>
      </c>
      <c r="H194" s="3">
        <f>H193/H192</f>
        <v/>
      </c>
      <c r="I194" s="3">
        <f>I193/I192</f>
        <v/>
      </c>
      <c r="K194" s="3">
        <f>K193/K192</f>
        <v/>
      </c>
      <c r="L194" s="3">
        <f>L193/L192</f>
        <v/>
      </c>
      <c r="M194" s="3">
        <f>M193/M192</f>
        <v/>
      </c>
    </row>
    <row r="195">
      <c r="A195" t="inlineStr">
        <is>
          <t>Bet</t>
        </is>
      </c>
      <c r="C195" s="3" t="n">
        <v>0</v>
      </c>
      <c r="D195" s="3" t="n">
        <v>0</v>
      </c>
      <c r="E195" s="3" t="n">
        <v>0</v>
      </c>
      <c r="G195" s="3" t="n">
        <v>0</v>
      </c>
      <c r="H195" s="3" t="n">
        <v>0</v>
      </c>
      <c r="I195" s="3" t="n">
        <v>0</v>
      </c>
      <c r="K195" s="3" t="n">
        <v>0</v>
      </c>
      <c r="L195" s="3" t="n">
        <v>0</v>
      </c>
      <c r="M195" s="3" t="n">
        <v>0</v>
      </c>
    </row>
    <row r="196">
      <c r="A196" t="inlineStr">
        <is>
          <t>Match result</t>
        </is>
      </c>
      <c r="C196" s="3" t="n">
        <v>0</v>
      </c>
      <c r="D196" s="3" t="n">
        <v>0</v>
      </c>
      <c r="E196" s="3" t="n">
        <v>0</v>
      </c>
      <c r="G196" s="3" t="n">
        <v>0</v>
      </c>
      <c r="H196" s="3" t="n">
        <v>0</v>
      </c>
      <c r="I196" s="3" t="n">
        <v>0</v>
      </c>
      <c r="K196" s="3" t="n">
        <v>0</v>
      </c>
      <c r="L196" s="3" t="n">
        <v>0</v>
      </c>
      <c r="M196" s="3" t="n">
        <v>0</v>
      </c>
    </row>
    <row r="197">
      <c r="A197" t="inlineStr">
        <is>
          <t>Income</t>
        </is>
      </c>
      <c r="C197" s="3">
        <f>C193*C196*C195-C195</f>
        <v/>
      </c>
      <c r="D197" s="3">
        <f>D193*D196*D195-D195</f>
        <v/>
      </c>
      <c r="E197" s="3">
        <f>E193*E196*E195-E195</f>
        <v/>
      </c>
      <c r="G197" s="3">
        <f>G193*G196*G195-G195</f>
        <v/>
      </c>
      <c r="H197" s="3">
        <f>H193*H196*H195-H195</f>
        <v/>
      </c>
      <c r="I197" s="3">
        <f>I193*I196*I195-I195</f>
        <v/>
      </c>
      <c r="K197" s="3">
        <f>K193*K196*K195-K195</f>
        <v/>
      </c>
      <c r="L197" s="3">
        <f>L193*L196*L195-L195</f>
        <v/>
      </c>
      <c r="M197" s="3">
        <f>M193*M196*M195-M195</f>
        <v/>
      </c>
    </row>
    <row r="199">
      <c r="A199" s="1" t="inlineStr">
        <is>
          <t>Bundesliga</t>
        </is>
      </c>
      <c r="C199" s="1" t="inlineStr">
        <is>
          <t>Win/Draw/Lose</t>
        </is>
      </c>
      <c r="E199" s="1">
        <f> 0+C206+D206+E206 + E190</f>
        <v/>
      </c>
      <c r="G199" s="1" t="inlineStr">
        <is>
          <t>1st half winner</t>
        </is>
      </c>
      <c r="I199" s="1">
        <f> 0+G206+H206+I206 + I190</f>
        <v/>
      </c>
      <c r="K199" s="1" t="inlineStr">
        <is>
          <t>2nd half winner</t>
        </is>
      </c>
      <c r="M199" s="1">
        <f> 0+K206+L206+M206 + M190</f>
        <v/>
      </c>
    </row>
    <row r="200">
      <c r="A200" t="inlineStr">
        <is>
          <t>VfL Wolfsburg - Borussia Monchengladbach</t>
        </is>
      </c>
      <c r="C200" s="2" t="inlineStr">
        <is>
          <t>W1</t>
        </is>
      </c>
      <c r="D200" s="2" t="inlineStr">
        <is>
          <t>X</t>
        </is>
      </c>
      <c r="E200" s="2" t="inlineStr">
        <is>
          <t>W2</t>
        </is>
      </c>
      <c r="G200" s="2" t="inlineStr">
        <is>
          <t>1st half W1</t>
        </is>
      </c>
      <c r="H200" s="2" t="inlineStr">
        <is>
          <t>1st half X</t>
        </is>
      </c>
      <c r="I200" s="2" t="inlineStr">
        <is>
          <t>1st half W2</t>
        </is>
      </c>
      <c r="K200" s="2" t="inlineStr">
        <is>
          <t>2st half W1</t>
        </is>
      </c>
      <c r="L200" s="2" t="inlineStr">
        <is>
          <t>2nd half X</t>
        </is>
      </c>
      <c r="M200" s="2" t="inlineStr">
        <is>
          <t>2nd half W2</t>
        </is>
      </c>
    </row>
    <row r="201">
      <c r="A201" t="inlineStr">
        <is>
          <t>App</t>
        </is>
      </c>
      <c r="C201" s="3" t="n">
        <v>1.281</v>
      </c>
      <c r="D201" s="3" t="n">
        <v>21.514</v>
      </c>
      <c r="E201" s="3" t="n">
        <v>5.086</v>
      </c>
      <c r="G201" s="3" t="n">
        <v>2.818</v>
      </c>
      <c r="H201" s="3" t="n">
        <v>3.015</v>
      </c>
      <c r="I201" s="3" t="n">
        <v>26.056</v>
      </c>
      <c r="K201" s="3" t="n">
        <v>1.609</v>
      </c>
      <c r="L201" s="3" t="n">
        <v>1.136</v>
      </c>
      <c r="M201" s="3" t="n">
        <v>9.035</v>
      </c>
    </row>
    <row r="202">
      <c r="A202" t="inlineStr">
        <is>
          <t>Bookmaker</t>
        </is>
      </c>
      <c r="C202" s="3" t="n">
        <v>0</v>
      </c>
      <c r="D202" s="3" t="n">
        <v>0</v>
      </c>
      <c r="E202" s="3" t="n">
        <v>0</v>
      </c>
      <c r="G202" s="3" t="n">
        <v>0</v>
      </c>
      <c r="H202" s="3" t="n">
        <v>0</v>
      </c>
      <c r="I202" s="3" t="n">
        <v>0</v>
      </c>
      <c r="K202" s="3" t="n">
        <v>0</v>
      </c>
      <c r="L202" s="3" t="n">
        <v>0</v>
      </c>
      <c r="M202" s="3" t="n">
        <v>0</v>
      </c>
    </row>
    <row r="203">
      <c r="A203" t="inlineStr">
        <is>
          <t>Expected payoff</t>
        </is>
      </c>
      <c r="C203" s="3">
        <f>C202/C201</f>
        <v/>
      </c>
      <c r="D203" s="3">
        <f>D202/D201</f>
        <v/>
      </c>
      <c r="E203" s="3">
        <f>E202/E201</f>
        <v/>
      </c>
      <c r="G203" s="3">
        <f>G202/G201</f>
        <v/>
      </c>
      <c r="H203" s="3">
        <f>H202/H201</f>
        <v/>
      </c>
      <c r="I203" s="3">
        <f>I202/I201</f>
        <v/>
      </c>
      <c r="K203" s="3">
        <f>K202/K201</f>
        <v/>
      </c>
      <c r="L203" s="3">
        <f>L202/L201</f>
        <v/>
      </c>
      <c r="M203" s="3">
        <f>M202/M201</f>
        <v/>
      </c>
    </row>
    <row r="204">
      <c r="A204" t="inlineStr">
        <is>
          <t>Bet</t>
        </is>
      </c>
      <c r="C204" s="3" t="n">
        <v>0</v>
      </c>
      <c r="D204" s="3" t="n">
        <v>0</v>
      </c>
      <c r="E204" s="3" t="n">
        <v>0</v>
      </c>
      <c r="G204" s="3" t="n">
        <v>0</v>
      </c>
      <c r="H204" s="3" t="n">
        <v>0</v>
      </c>
      <c r="I204" s="3" t="n">
        <v>0</v>
      </c>
      <c r="K204" s="3" t="n">
        <v>0</v>
      </c>
      <c r="L204" s="3" t="n">
        <v>0</v>
      </c>
      <c r="M204" s="3" t="n">
        <v>0</v>
      </c>
    </row>
    <row r="205">
      <c r="A205" t="inlineStr">
        <is>
          <t>Match result</t>
        </is>
      </c>
      <c r="C205" s="3" t="n">
        <v>0</v>
      </c>
      <c r="D205" s="3" t="n">
        <v>0</v>
      </c>
      <c r="E205" s="3" t="n">
        <v>0</v>
      </c>
      <c r="G205" s="3" t="n">
        <v>0</v>
      </c>
      <c r="H205" s="3" t="n">
        <v>0</v>
      </c>
      <c r="I205" s="3" t="n">
        <v>0</v>
      </c>
      <c r="K205" s="3" t="n">
        <v>0</v>
      </c>
      <c r="L205" s="3" t="n">
        <v>0</v>
      </c>
      <c r="M205" s="3" t="n">
        <v>0</v>
      </c>
    </row>
    <row r="206">
      <c r="A206" t="inlineStr">
        <is>
          <t>Income</t>
        </is>
      </c>
      <c r="C206" s="3">
        <f>C202*C205*C204-C204</f>
        <v/>
      </c>
      <c r="D206" s="3">
        <f>D202*D205*D204-D204</f>
        <v/>
      </c>
      <c r="E206" s="3">
        <f>E202*E205*E204-E204</f>
        <v/>
      </c>
      <c r="G206" s="3">
        <f>G202*G205*G204-G204</f>
        <v/>
      </c>
      <c r="H206" s="3">
        <f>H202*H205*H204-H204</f>
        <v/>
      </c>
      <c r="I206" s="3">
        <f>I202*I205*I204-I204</f>
        <v/>
      </c>
      <c r="K206" s="3">
        <f>K202*K205*K204-K204</f>
        <v/>
      </c>
      <c r="L206" s="3">
        <f>L202*L205*L204-L204</f>
        <v/>
      </c>
      <c r="M206" s="3">
        <f>M202*M205*M204-M204</f>
        <v/>
      </c>
    </row>
    <row r="208">
      <c r="A208" s="1" t="inlineStr">
        <is>
          <t>Bundesliga</t>
        </is>
      </c>
      <c r="C208" s="1" t="inlineStr">
        <is>
          <t>Win/Draw/Lose</t>
        </is>
      </c>
      <c r="E208" s="1">
        <f> 0+C215+D215+E215 + E199</f>
        <v/>
      </c>
      <c r="G208" s="1" t="inlineStr">
        <is>
          <t>1st half winner</t>
        </is>
      </c>
      <c r="I208" s="1">
        <f> 0+G215+H215+I215 + I199</f>
        <v/>
      </c>
      <c r="K208" s="1" t="inlineStr">
        <is>
          <t>2nd half winner</t>
        </is>
      </c>
      <c r="M208" s="1">
        <f> 0+K215+L215+M215 + M199</f>
        <v/>
      </c>
    </row>
    <row r="209">
      <c r="A209" t="inlineStr">
        <is>
          <t>Bayer Leverkusen - FSV Mainz 05</t>
        </is>
      </c>
      <c r="C209" s="2" t="inlineStr">
        <is>
          <t>W1</t>
        </is>
      </c>
      <c r="D209" s="2" t="inlineStr">
        <is>
          <t>X</t>
        </is>
      </c>
      <c r="E209" s="2" t="inlineStr">
        <is>
          <t>W2</t>
        </is>
      </c>
      <c r="G209" s="2" t="inlineStr">
        <is>
          <t>1st half W1</t>
        </is>
      </c>
      <c r="H209" s="2" t="inlineStr">
        <is>
          <t>1st half X</t>
        </is>
      </c>
      <c r="I209" s="2" t="inlineStr">
        <is>
          <t>1st half W2</t>
        </is>
      </c>
      <c r="K209" s="2" t="inlineStr">
        <is>
          <t>2st half W1</t>
        </is>
      </c>
      <c r="L209" s="2" t="inlineStr">
        <is>
          <t>2nd half X</t>
        </is>
      </c>
      <c r="M209" s="2" t="inlineStr">
        <is>
          <t>2nd half W2</t>
        </is>
      </c>
    </row>
    <row r="210">
      <c r="A210" t="inlineStr">
        <is>
          <t>App</t>
        </is>
      </c>
      <c r="C210" s="3" t="n">
        <v>1.22</v>
      </c>
      <c r="D210" s="3" t="n">
        <v>14.162</v>
      </c>
      <c r="E210" s="3" t="n">
        <v>3.913</v>
      </c>
      <c r="G210" s="3" t="n">
        <v>4.493</v>
      </c>
      <c r="H210" s="3" t="n">
        <v>8.145</v>
      </c>
      <c r="I210" s="3" t="n">
        <v>7.446</v>
      </c>
      <c r="K210" s="3" t="n">
        <v>2.938</v>
      </c>
      <c r="L210" s="3" t="n">
        <v>3.209</v>
      </c>
      <c r="M210" s="3" t="n">
        <v>4.35</v>
      </c>
    </row>
    <row r="211">
      <c r="A211" t="inlineStr">
        <is>
          <t>Bookmaker</t>
        </is>
      </c>
      <c r="C211" s="3" t="n">
        <v>0</v>
      </c>
      <c r="D211" s="3" t="n">
        <v>0</v>
      </c>
      <c r="E211" s="3" t="n">
        <v>0</v>
      </c>
      <c r="G211" s="3" t="n">
        <v>0</v>
      </c>
      <c r="H211" s="3" t="n">
        <v>0</v>
      </c>
      <c r="I211" s="3" t="n">
        <v>0</v>
      </c>
      <c r="K211" s="3" t="n">
        <v>0</v>
      </c>
      <c r="L211" s="3" t="n">
        <v>0</v>
      </c>
      <c r="M211" s="3" t="n">
        <v>0</v>
      </c>
    </row>
    <row r="212">
      <c r="A212" t="inlineStr">
        <is>
          <t>Expected payoff</t>
        </is>
      </c>
      <c r="C212" s="3">
        <f>C211/C210</f>
        <v/>
      </c>
      <c r="D212" s="3">
        <f>D211/D210</f>
        <v/>
      </c>
      <c r="E212" s="3">
        <f>E211/E210</f>
        <v/>
      </c>
      <c r="G212" s="3">
        <f>G211/G210</f>
        <v/>
      </c>
      <c r="H212" s="3">
        <f>H211/H210</f>
        <v/>
      </c>
      <c r="I212" s="3">
        <f>I211/I210</f>
        <v/>
      </c>
      <c r="K212" s="3">
        <f>K211/K210</f>
        <v/>
      </c>
      <c r="L212" s="3">
        <f>L211/L210</f>
        <v/>
      </c>
      <c r="M212" s="3">
        <f>M211/M210</f>
        <v/>
      </c>
    </row>
    <row r="213">
      <c r="A213" t="inlineStr">
        <is>
          <t>Bet</t>
        </is>
      </c>
      <c r="C213" s="3" t="n">
        <v>0</v>
      </c>
      <c r="D213" s="3" t="n">
        <v>0</v>
      </c>
      <c r="E213" s="3" t="n">
        <v>0</v>
      </c>
      <c r="G213" s="3" t="n">
        <v>0</v>
      </c>
      <c r="H213" s="3" t="n">
        <v>0</v>
      </c>
      <c r="I213" s="3" t="n">
        <v>0</v>
      </c>
      <c r="K213" s="3" t="n">
        <v>0</v>
      </c>
      <c r="L213" s="3" t="n">
        <v>0</v>
      </c>
      <c r="M213" s="3" t="n">
        <v>0</v>
      </c>
    </row>
    <row r="214">
      <c r="A214" t="inlineStr">
        <is>
          <t>Match result</t>
        </is>
      </c>
      <c r="C214" s="3" t="n">
        <v>0</v>
      </c>
      <c r="D214" s="3" t="n">
        <v>0</v>
      </c>
      <c r="E214" s="3" t="n">
        <v>0</v>
      </c>
      <c r="G214" s="3" t="n">
        <v>0</v>
      </c>
      <c r="H214" s="3" t="n">
        <v>0</v>
      </c>
      <c r="I214" s="3" t="n">
        <v>0</v>
      </c>
      <c r="K214" s="3" t="n">
        <v>0</v>
      </c>
      <c r="L214" s="3" t="n">
        <v>0</v>
      </c>
      <c r="M214" s="3" t="n">
        <v>0</v>
      </c>
    </row>
    <row r="215">
      <c r="A215" t="inlineStr">
        <is>
          <t>Income</t>
        </is>
      </c>
      <c r="C215" s="3">
        <f>C211*C214*C213-C213</f>
        <v/>
      </c>
      <c r="D215" s="3">
        <f>D211*D214*D213-D213</f>
        <v/>
      </c>
      <c r="E215" s="3">
        <f>E211*E214*E213-E213</f>
        <v/>
      </c>
      <c r="G215" s="3">
        <f>G211*G214*G213-G213</f>
        <v/>
      </c>
      <c r="H215" s="3">
        <f>H211*H214*H213-H213</f>
        <v/>
      </c>
      <c r="I215" s="3">
        <f>I211*I214*I213-I213</f>
        <v/>
      </c>
      <c r="K215" s="3">
        <f>K211*K214*K213-K213</f>
        <v/>
      </c>
      <c r="L215" s="3">
        <f>L211*L214*L213-L213</f>
        <v/>
      </c>
      <c r="M215" s="3">
        <f>M211*M214*M213-M213</f>
        <v/>
      </c>
    </row>
    <row r="217">
      <c r="A217" s="1" t="inlineStr">
        <is>
          <t>Bundesliga</t>
        </is>
      </c>
      <c r="C217" s="1" t="inlineStr">
        <is>
          <t>Win/Draw/Lose</t>
        </is>
      </c>
      <c r="E217" s="1">
        <f> 0+C224+D224+E224 + E208</f>
        <v/>
      </c>
      <c r="G217" s="1" t="inlineStr">
        <is>
          <t>1st half winner</t>
        </is>
      </c>
      <c r="I217" s="1">
        <f> 0+G224+H224+I224 + I208</f>
        <v/>
      </c>
      <c r="K217" s="1" t="inlineStr">
        <is>
          <t>2nd half winner</t>
        </is>
      </c>
      <c r="M217" s="1">
        <f> 0+K224+L224+M224 + M208</f>
        <v/>
      </c>
    </row>
    <row r="218">
      <c r="A218" t="inlineStr">
        <is>
          <t>Bayern Munich - 1899 Hoffenheim</t>
        </is>
      </c>
      <c r="C218" s="2" t="inlineStr">
        <is>
          <t>W1</t>
        </is>
      </c>
      <c r="D218" s="2" t="inlineStr">
        <is>
          <t>X</t>
        </is>
      </c>
      <c r="E218" s="2" t="inlineStr">
        <is>
          <t>W2</t>
        </is>
      </c>
      <c r="G218" s="2" t="inlineStr">
        <is>
          <t>1st half W1</t>
        </is>
      </c>
      <c r="H218" s="2" t="inlineStr">
        <is>
          <t>1st half X</t>
        </is>
      </c>
      <c r="I218" s="2" t="inlineStr">
        <is>
          <t>1st half W2</t>
        </is>
      </c>
      <c r="K218" s="2" t="inlineStr">
        <is>
          <t>2st half W1</t>
        </is>
      </c>
      <c r="L218" s="2" t="inlineStr">
        <is>
          <t>2nd half X</t>
        </is>
      </c>
      <c r="M218" s="2" t="inlineStr">
        <is>
          <t>2nd half W2</t>
        </is>
      </c>
    </row>
    <row r="219">
      <c r="A219" t="inlineStr">
        <is>
          <t>App</t>
        </is>
      </c>
      <c r="C219" s="3" t="n">
        <v>1.26</v>
      </c>
      <c r="D219" s="3" t="n">
        <v>23.582</v>
      </c>
      <c r="E219" s="3" t="n">
        <v>3.963</v>
      </c>
      <c r="G219" s="3" t="n">
        <v>12.033</v>
      </c>
      <c r="H219" s="3" t="n">
        <v>1.637</v>
      </c>
      <c r="I219" s="3" t="n">
        <v>8.93</v>
      </c>
      <c r="K219" s="3" t="n">
        <v>2.206</v>
      </c>
      <c r="L219" s="3" t="n">
        <v>2.031</v>
      </c>
      <c r="M219" s="3" t="n">
        <v>5.435</v>
      </c>
    </row>
    <row r="220">
      <c r="A220" t="inlineStr">
        <is>
          <t>Bookmaker</t>
        </is>
      </c>
      <c r="C220" s="3" t="n">
        <v>0</v>
      </c>
      <c r="D220" s="3" t="n">
        <v>0</v>
      </c>
      <c r="E220" s="3" t="n">
        <v>0</v>
      </c>
      <c r="G220" s="3" t="n">
        <v>0</v>
      </c>
      <c r="H220" s="3" t="n">
        <v>0</v>
      </c>
      <c r="I220" s="3" t="n">
        <v>0</v>
      </c>
      <c r="K220" s="3" t="n">
        <v>0</v>
      </c>
      <c r="L220" s="3" t="n">
        <v>0</v>
      </c>
      <c r="M220" s="3" t="n">
        <v>0</v>
      </c>
    </row>
    <row r="221">
      <c r="A221" t="inlineStr">
        <is>
          <t>Expected payoff</t>
        </is>
      </c>
      <c r="C221" s="3">
        <f>C220/C219</f>
        <v/>
      </c>
      <c r="D221" s="3">
        <f>D220/D219</f>
        <v/>
      </c>
      <c r="E221" s="3">
        <f>E220/E219</f>
        <v/>
      </c>
      <c r="G221" s="3">
        <f>G220/G219</f>
        <v/>
      </c>
      <c r="H221" s="3">
        <f>H220/H219</f>
        <v/>
      </c>
      <c r="I221" s="3">
        <f>I220/I219</f>
        <v/>
      </c>
      <c r="K221" s="3">
        <f>K220/K219</f>
        <v/>
      </c>
      <c r="L221" s="3">
        <f>L220/L219</f>
        <v/>
      </c>
      <c r="M221" s="3">
        <f>M220/M219</f>
        <v/>
      </c>
    </row>
    <row r="222">
      <c r="A222" t="inlineStr">
        <is>
          <t>Bet</t>
        </is>
      </c>
      <c r="C222" s="3" t="n">
        <v>0</v>
      </c>
      <c r="D222" s="3" t="n">
        <v>0</v>
      </c>
      <c r="E222" s="3" t="n">
        <v>0</v>
      </c>
      <c r="G222" s="3" t="n">
        <v>0</v>
      </c>
      <c r="H222" s="3" t="n">
        <v>0</v>
      </c>
      <c r="I222" s="3" t="n">
        <v>0</v>
      </c>
      <c r="K222" s="3" t="n">
        <v>0</v>
      </c>
      <c r="L222" s="3" t="n">
        <v>0</v>
      </c>
      <c r="M222" s="3" t="n">
        <v>0</v>
      </c>
    </row>
    <row r="223">
      <c r="A223" t="inlineStr">
        <is>
          <t>Match result</t>
        </is>
      </c>
      <c r="C223" s="3" t="n">
        <v>0</v>
      </c>
      <c r="D223" s="3" t="n">
        <v>0</v>
      </c>
      <c r="E223" s="3" t="n">
        <v>0</v>
      </c>
      <c r="G223" s="3" t="n">
        <v>0</v>
      </c>
      <c r="H223" s="3" t="n">
        <v>0</v>
      </c>
      <c r="I223" s="3" t="n">
        <v>0</v>
      </c>
      <c r="K223" s="3" t="n">
        <v>0</v>
      </c>
      <c r="L223" s="3" t="n">
        <v>0</v>
      </c>
      <c r="M223" s="3" t="n">
        <v>0</v>
      </c>
    </row>
    <row r="224">
      <c r="A224" t="inlineStr">
        <is>
          <t>Income</t>
        </is>
      </c>
      <c r="C224" s="3">
        <f>C220*C223*C222-C222</f>
        <v/>
      </c>
      <c r="D224" s="3">
        <f>D220*D223*D222-D222</f>
        <v/>
      </c>
      <c r="E224" s="3">
        <f>E220*E223*E222-E222</f>
        <v/>
      </c>
      <c r="G224" s="3">
        <f>G220*G223*G222-G222</f>
        <v/>
      </c>
      <c r="H224" s="3">
        <f>H220*H223*H222-H222</f>
        <v/>
      </c>
      <c r="I224" s="3">
        <f>I220*I223*I222-I222</f>
        <v/>
      </c>
      <c r="K224" s="3">
        <f>K220*K223*K222-K222</f>
        <v/>
      </c>
      <c r="L224" s="3">
        <f>L220*L223*L222-L222</f>
        <v/>
      </c>
      <c r="M224" s="3">
        <f>M220*M223*M222-M222</f>
        <v/>
      </c>
    </row>
    <row r="226">
      <c r="A226" s="1" t="inlineStr">
        <is>
          <t>Bundesliga</t>
        </is>
      </c>
      <c r="C226" s="1" t="inlineStr">
        <is>
          <t>Win/Draw/Lose</t>
        </is>
      </c>
      <c r="E226" s="1">
        <f> 0+C233+D233+E233 + E217</f>
        <v/>
      </c>
      <c r="G226" s="1" t="inlineStr">
        <is>
          <t>1st half winner</t>
        </is>
      </c>
      <c r="I226" s="1">
        <f> 0+G233+H233+I233 + I217</f>
        <v/>
      </c>
      <c r="K226" s="1" t="inlineStr">
        <is>
          <t>2nd half winner</t>
        </is>
      </c>
      <c r="M226" s="1">
        <f> 0+K233+L233+M233 + M217</f>
        <v/>
      </c>
    </row>
    <row r="227">
      <c r="A227" t="inlineStr">
        <is>
          <t>VfB Stuttgart - RB Leipzig</t>
        </is>
      </c>
      <c r="C227" s="2" t="inlineStr">
        <is>
          <t>W1</t>
        </is>
      </c>
      <c r="D227" s="2" t="inlineStr">
        <is>
          <t>X</t>
        </is>
      </c>
      <c r="E227" s="2" t="inlineStr">
        <is>
          <t>W2</t>
        </is>
      </c>
      <c r="G227" s="2" t="inlineStr">
        <is>
          <t>1st half W1</t>
        </is>
      </c>
      <c r="H227" s="2" t="inlineStr">
        <is>
          <t>1st half X</t>
        </is>
      </c>
      <c r="I227" s="2" t="inlineStr">
        <is>
          <t>1st half W2</t>
        </is>
      </c>
      <c r="K227" s="2" t="inlineStr">
        <is>
          <t>2st half W1</t>
        </is>
      </c>
      <c r="L227" s="2" t="inlineStr">
        <is>
          <t>2nd half X</t>
        </is>
      </c>
      <c r="M227" s="2" t="inlineStr">
        <is>
          <t>2nd half W2</t>
        </is>
      </c>
    </row>
    <row r="228">
      <c r="A228" t="inlineStr">
        <is>
          <t>App</t>
        </is>
      </c>
      <c r="C228" s="3" t="n">
        <v>2.286</v>
      </c>
      <c r="D228" s="3" t="n">
        <v>3.37</v>
      </c>
      <c r="E228" s="3" t="n">
        <v>5.097</v>
      </c>
      <c r="G228" s="3" t="n">
        <v>2.445</v>
      </c>
      <c r="H228" s="3" t="n">
        <v>1.771</v>
      </c>
      <c r="I228" s="3" t="n">
        <v>2.34</v>
      </c>
      <c r="K228" s="3" t="n">
        <v>4.186</v>
      </c>
      <c r="L228" s="3" t="n">
        <v>1.203</v>
      </c>
      <c r="M228" s="3" t="n">
        <v>6.191</v>
      </c>
    </row>
    <row r="229">
      <c r="A229" t="inlineStr">
        <is>
          <t>Bookmaker</t>
        </is>
      </c>
      <c r="C229" s="3" t="n">
        <v>0</v>
      </c>
      <c r="D229" s="3" t="n">
        <v>0</v>
      </c>
      <c r="E229" s="3" t="n">
        <v>0</v>
      </c>
      <c r="G229" s="3" t="n">
        <v>0</v>
      </c>
      <c r="H229" s="3" t="n">
        <v>0</v>
      </c>
      <c r="I229" s="3" t="n">
        <v>0</v>
      </c>
      <c r="K229" s="3" t="n">
        <v>0</v>
      </c>
      <c r="L229" s="3" t="n">
        <v>0</v>
      </c>
      <c r="M229" s="3" t="n">
        <v>0</v>
      </c>
    </row>
    <row r="230">
      <c r="A230" t="inlineStr">
        <is>
          <t>Expected payoff</t>
        </is>
      </c>
      <c r="C230" s="3">
        <f>C229/C228</f>
        <v/>
      </c>
      <c r="D230" s="3">
        <f>D229/D228</f>
        <v/>
      </c>
      <c r="E230" s="3">
        <f>E229/E228</f>
        <v/>
      </c>
      <c r="G230" s="3">
        <f>G229/G228</f>
        <v/>
      </c>
      <c r="H230" s="3">
        <f>H229/H228</f>
        <v/>
      </c>
      <c r="I230" s="3">
        <f>I229/I228</f>
        <v/>
      </c>
      <c r="K230" s="3">
        <f>K229/K228</f>
        <v/>
      </c>
      <c r="L230" s="3">
        <f>L229/L228</f>
        <v/>
      </c>
      <c r="M230" s="3">
        <f>M229/M228</f>
        <v/>
      </c>
    </row>
    <row r="231">
      <c r="A231" t="inlineStr">
        <is>
          <t>Bet</t>
        </is>
      </c>
      <c r="C231" s="3" t="n">
        <v>0</v>
      </c>
      <c r="D231" s="3" t="n">
        <v>0</v>
      </c>
      <c r="E231" s="3" t="n">
        <v>0</v>
      </c>
      <c r="G231" s="3" t="n">
        <v>0</v>
      </c>
      <c r="H231" s="3" t="n">
        <v>0</v>
      </c>
      <c r="I231" s="3" t="n">
        <v>0</v>
      </c>
      <c r="K231" s="3" t="n">
        <v>0</v>
      </c>
      <c r="L231" s="3" t="n">
        <v>0</v>
      </c>
      <c r="M231" s="3" t="n">
        <v>0</v>
      </c>
    </row>
    <row r="232">
      <c r="A232" t="inlineStr">
        <is>
          <t>Match result</t>
        </is>
      </c>
      <c r="C232" s="3" t="n">
        <v>0</v>
      </c>
      <c r="D232" s="3" t="n">
        <v>0</v>
      </c>
      <c r="E232" s="3" t="n">
        <v>0</v>
      </c>
      <c r="G232" s="3" t="n">
        <v>0</v>
      </c>
      <c r="H232" s="3" t="n">
        <v>0</v>
      </c>
      <c r="I232" s="3" t="n">
        <v>0</v>
      </c>
      <c r="K232" s="3" t="n">
        <v>0</v>
      </c>
      <c r="L232" s="3" t="n">
        <v>0</v>
      </c>
      <c r="M232" s="3" t="n">
        <v>0</v>
      </c>
    </row>
    <row r="233">
      <c r="A233" t="inlineStr">
        <is>
          <t>Income</t>
        </is>
      </c>
      <c r="C233" s="3">
        <f>C229*C232*C231-C231</f>
        <v/>
      </c>
      <c r="D233" s="3">
        <f>D229*D232*D231-D231</f>
        <v/>
      </c>
      <c r="E233" s="3">
        <f>E229*E232*E231-E231</f>
        <v/>
      </c>
      <c r="G233" s="3">
        <f>G229*G232*G231-G231</f>
        <v/>
      </c>
      <c r="H233" s="3">
        <f>H229*H232*H231-H231</f>
        <v/>
      </c>
      <c r="I233" s="3">
        <f>I229*I232*I231-I231</f>
        <v/>
      </c>
      <c r="K233" s="3">
        <f>K229*K232*K231-K231</f>
        <v/>
      </c>
      <c r="L233" s="3">
        <f>L229*L232*L231-L231</f>
        <v/>
      </c>
      <c r="M233" s="3">
        <f>M229*M232*M231-M231</f>
        <v/>
      </c>
    </row>
    <row r="235">
      <c r="A235" s="1" t="inlineStr">
        <is>
          <t>Bundesliga</t>
        </is>
      </c>
      <c r="C235" s="1" t="inlineStr">
        <is>
          <t>Win/Draw/Lose</t>
        </is>
      </c>
      <c r="E235" s="1">
        <f> 0+C242+D242+E242 + E226</f>
        <v/>
      </c>
      <c r="G235" s="1" t="inlineStr">
        <is>
          <t>1st half winner</t>
        </is>
      </c>
      <c r="I235" s="1">
        <f> 0+G242+H242+I242 + I226</f>
        <v/>
      </c>
      <c r="K235" s="1" t="inlineStr">
        <is>
          <t>2nd half winner</t>
        </is>
      </c>
      <c r="M235" s="1">
        <f> 0+K242+L242+M242 + M226</f>
        <v/>
      </c>
    </row>
    <row r="236">
      <c r="A236" t="inlineStr">
        <is>
          <t>Union Berlin - FC Augsburg</t>
        </is>
      </c>
      <c r="C236" s="2" t="inlineStr">
        <is>
          <t>W1</t>
        </is>
      </c>
      <c r="D236" s="2" t="inlineStr">
        <is>
          <t>X</t>
        </is>
      </c>
      <c r="E236" s="2" t="inlineStr">
        <is>
          <t>W2</t>
        </is>
      </c>
      <c r="G236" s="2" t="inlineStr">
        <is>
          <t>1st half W1</t>
        </is>
      </c>
      <c r="H236" s="2" t="inlineStr">
        <is>
          <t>1st half X</t>
        </is>
      </c>
      <c r="I236" s="2" t="inlineStr">
        <is>
          <t>1st half W2</t>
        </is>
      </c>
      <c r="K236" s="2" t="inlineStr">
        <is>
          <t>2st half W1</t>
        </is>
      </c>
      <c r="L236" s="2" t="inlineStr">
        <is>
          <t>2nd half X</t>
        </is>
      </c>
      <c r="M236" s="2" t="inlineStr">
        <is>
          <t>2nd half W2</t>
        </is>
      </c>
    </row>
    <row r="237">
      <c r="A237" t="inlineStr">
        <is>
          <t>App</t>
        </is>
      </c>
      <c r="C237" s="3" t="n">
        <v>2.746</v>
      </c>
      <c r="D237" s="3" t="n">
        <v>3.918</v>
      </c>
      <c r="E237" s="3" t="n">
        <v>4.441</v>
      </c>
      <c r="G237" s="3" t="n">
        <v>2.815</v>
      </c>
      <c r="H237" s="3" t="n">
        <v>5.522</v>
      </c>
      <c r="I237" s="3" t="n">
        <v>4.708</v>
      </c>
      <c r="K237" s="3" t="n">
        <v>11.425</v>
      </c>
      <c r="L237" s="3" t="n">
        <v>4.935</v>
      </c>
      <c r="M237" s="3" t="n">
        <v>3.829</v>
      </c>
    </row>
    <row r="238">
      <c r="A238" t="inlineStr">
        <is>
          <t>Bookmaker</t>
        </is>
      </c>
      <c r="C238" s="3" t="n">
        <v>0</v>
      </c>
      <c r="D238" s="3" t="n">
        <v>0</v>
      </c>
      <c r="E238" s="3" t="n">
        <v>0</v>
      </c>
      <c r="G238" s="3" t="n">
        <v>0</v>
      </c>
      <c r="H238" s="3" t="n">
        <v>0</v>
      </c>
      <c r="I238" s="3" t="n">
        <v>0</v>
      </c>
      <c r="K238" s="3" t="n">
        <v>0</v>
      </c>
      <c r="L238" s="3" t="n">
        <v>0</v>
      </c>
      <c r="M238" s="3" t="n">
        <v>0</v>
      </c>
    </row>
    <row r="239">
      <c r="A239" t="inlineStr">
        <is>
          <t>Expected payoff</t>
        </is>
      </c>
      <c r="C239" s="3">
        <f>C238/C237</f>
        <v/>
      </c>
      <c r="D239" s="3">
        <f>D238/D237</f>
        <v/>
      </c>
      <c r="E239" s="3">
        <f>E238/E237</f>
        <v/>
      </c>
      <c r="G239" s="3">
        <f>G238/G237</f>
        <v/>
      </c>
      <c r="H239" s="3">
        <f>H238/H237</f>
        <v/>
      </c>
      <c r="I239" s="3">
        <f>I238/I237</f>
        <v/>
      </c>
      <c r="K239" s="3">
        <f>K238/K237</f>
        <v/>
      </c>
      <c r="L239" s="3">
        <f>L238/L237</f>
        <v/>
      </c>
      <c r="M239" s="3">
        <f>M238/M237</f>
        <v/>
      </c>
    </row>
    <row r="240">
      <c r="A240" t="inlineStr">
        <is>
          <t>Bet</t>
        </is>
      </c>
      <c r="C240" s="3" t="n">
        <v>0</v>
      </c>
      <c r="D240" s="3" t="n">
        <v>0</v>
      </c>
      <c r="E240" s="3" t="n">
        <v>0</v>
      </c>
      <c r="G240" s="3" t="n">
        <v>0</v>
      </c>
      <c r="H240" s="3" t="n">
        <v>0</v>
      </c>
      <c r="I240" s="3" t="n">
        <v>0</v>
      </c>
      <c r="K240" s="3" t="n">
        <v>0</v>
      </c>
      <c r="L240" s="3" t="n">
        <v>0</v>
      </c>
      <c r="M240" s="3" t="n">
        <v>0</v>
      </c>
    </row>
    <row r="241">
      <c r="A241" t="inlineStr">
        <is>
          <t>Match result</t>
        </is>
      </c>
      <c r="C241" s="3" t="n">
        <v>0</v>
      </c>
      <c r="D241" s="3" t="n">
        <v>0</v>
      </c>
      <c r="E241" s="3" t="n">
        <v>0</v>
      </c>
      <c r="G241" s="3" t="n">
        <v>0</v>
      </c>
      <c r="H241" s="3" t="n">
        <v>0</v>
      </c>
      <c r="I241" s="3" t="n">
        <v>0</v>
      </c>
      <c r="K241" s="3" t="n">
        <v>0</v>
      </c>
      <c r="L241" s="3" t="n">
        <v>0</v>
      </c>
      <c r="M241" s="3" t="n">
        <v>0</v>
      </c>
    </row>
    <row r="242">
      <c r="A242" t="inlineStr">
        <is>
          <t>Income</t>
        </is>
      </c>
      <c r="C242" s="3">
        <f>C238*C241*C240-C240</f>
        <v/>
      </c>
      <c r="D242" s="3">
        <f>D238*D241*D240-D240</f>
        <v/>
      </c>
      <c r="E242" s="3">
        <f>E238*E241*E240-E240</f>
        <v/>
      </c>
      <c r="G242" s="3">
        <f>G238*G241*G240-G240</f>
        <v/>
      </c>
      <c r="H242" s="3">
        <f>H238*H241*H240-H240</f>
        <v/>
      </c>
      <c r="I242" s="3">
        <f>I238*I241*I240-I240</f>
        <v/>
      </c>
      <c r="K242" s="3">
        <f>K238*K241*K240-K240</f>
        <v/>
      </c>
      <c r="L242" s="3">
        <f>L238*L241*L240-L240</f>
        <v/>
      </c>
      <c r="M242" s="3">
        <f>M238*M241*M240-M240</f>
        <v/>
      </c>
    </row>
    <row r="244">
      <c r="A244" s="1" t="inlineStr">
        <is>
          <t>Ligue 1</t>
        </is>
      </c>
      <c r="C244" s="1" t="inlineStr">
        <is>
          <t>Win/Draw/Lose</t>
        </is>
      </c>
      <c r="E244" s="1">
        <f> 0+C251+D251+E251 + E235</f>
        <v/>
      </c>
      <c r="G244" s="1" t="inlineStr">
        <is>
          <t>1st half winner</t>
        </is>
      </c>
      <c r="I244" s="1">
        <f> 0+G251+H251+I251 + I235</f>
        <v/>
      </c>
      <c r="K244" s="1" t="inlineStr">
        <is>
          <t>2nd half winner</t>
        </is>
      </c>
      <c r="M244" s="1">
        <f> 0+K251+L251+M251 + M235</f>
        <v/>
      </c>
    </row>
    <row r="245">
      <c r="A245" t="inlineStr">
        <is>
          <t>Montpellier - Monaco</t>
        </is>
      </c>
      <c r="C245" s="2" t="inlineStr">
        <is>
          <t>W1</t>
        </is>
      </c>
      <c r="D245" s="2" t="inlineStr">
        <is>
          <t>X</t>
        </is>
      </c>
      <c r="E245" s="2" t="inlineStr">
        <is>
          <t>W2</t>
        </is>
      </c>
      <c r="G245" s="2" t="inlineStr">
        <is>
          <t>1st half W1</t>
        </is>
      </c>
      <c r="H245" s="2" t="inlineStr">
        <is>
          <t>1st half X</t>
        </is>
      </c>
      <c r="I245" s="2" t="inlineStr">
        <is>
          <t>1st half W2</t>
        </is>
      </c>
      <c r="K245" s="2" t="inlineStr">
        <is>
          <t>2st half W1</t>
        </is>
      </c>
      <c r="L245" s="2" t="inlineStr">
        <is>
          <t>2nd half X</t>
        </is>
      </c>
      <c r="M245" s="2" t="inlineStr">
        <is>
          <t>2nd half W2</t>
        </is>
      </c>
    </row>
    <row r="246">
      <c r="A246" t="inlineStr">
        <is>
          <t>App</t>
        </is>
      </c>
      <c r="C246" s="3" t="n">
        <v>9.468999999999999</v>
      </c>
      <c r="D246" s="3" t="n">
        <v>5.566</v>
      </c>
      <c r="E246" s="3" t="n">
        <v>3.229</v>
      </c>
      <c r="G246" s="3" t="n">
        <v>13.243</v>
      </c>
      <c r="H246" s="3" t="n">
        <v>3.226</v>
      </c>
      <c r="I246" s="3" t="n">
        <v>4.257</v>
      </c>
      <c r="K246" s="3" t="n">
        <v>3.887</v>
      </c>
      <c r="L246" s="3" t="n">
        <v>2.23</v>
      </c>
      <c r="M246" s="3" t="n">
        <v>3.071</v>
      </c>
    </row>
    <row r="247">
      <c r="A247" t="inlineStr">
        <is>
          <t>Bookmaker</t>
        </is>
      </c>
      <c r="C247" s="3" t="n">
        <v>0</v>
      </c>
      <c r="D247" s="3" t="n">
        <v>0</v>
      </c>
      <c r="E247" s="3" t="n">
        <v>0</v>
      </c>
      <c r="G247" s="3" t="n">
        <v>0</v>
      </c>
      <c r="H247" s="3" t="n">
        <v>0</v>
      </c>
      <c r="I247" s="3" t="n">
        <v>0</v>
      </c>
      <c r="K247" s="3" t="n">
        <v>0</v>
      </c>
      <c r="L247" s="3" t="n">
        <v>0</v>
      </c>
      <c r="M247" s="3" t="n">
        <v>0</v>
      </c>
    </row>
    <row r="248">
      <c r="A248" t="inlineStr">
        <is>
          <t>Expected payoff</t>
        </is>
      </c>
      <c r="C248" s="3">
        <f>C247/C246</f>
        <v/>
      </c>
      <c r="D248" s="3">
        <f>D247/D246</f>
        <v/>
      </c>
      <c r="E248" s="3">
        <f>E247/E246</f>
        <v/>
      </c>
      <c r="G248" s="3">
        <f>G247/G246</f>
        <v/>
      </c>
      <c r="H248" s="3">
        <f>H247/H246</f>
        <v/>
      </c>
      <c r="I248" s="3">
        <f>I247/I246</f>
        <v/>
      </c>
      <c r="K248" s="3">
        <f>K247/K246</f>
        <v/>
      </c>
      <c r="L248" s="3">
        <f>L247/L246</f>
        <v/>
      </c>
      <c r="M248" s="3">
        <f>M247/M246</f>
        <v/>
      </c>
    </row>
    <row r="249">
      <c r="A249" t="inlineStr">
        <is>
          <t>Bet</t>
        </is>
      </c>
      <c r="C249" s="3" t="n">
        <v>0</v>
      </c>
      <c r="D249" s="3" t="n">
        <v>0</v>
      </c>
      <c r="E249" s="3" t="n">
        <v>0</v>
      </c>
      <c r="G249" s="3" t="n">
        <v>0</v>
      </c>
      <c r="H249" s="3" t="n">
        <v>0</v>
      </c>
      <c r="I249" s="3" t="n">
        <v>0</v>
      </c>
      <c r="K249" s="3" t="n">
        <v>0</v>
      </c>
      <c r="L249" s="3" t="n">
        <v>0</v>
      </c>
      <c r="M249" s="3" t="n">
        <v>0</v>
      </c>
    </row>
    <row r="250">
      <c r="A250" t="inlineStr">
        <is>
          <t>Match result</t>
        </is>
      </c>
      <c r="C250" s="3" t="n">
        <v>0</v>
      </c>
      <c r="D250" s="3" t="n">
        <v>0</v>
      </c>
      <c r="E250" s="3" t="n">
        <v>0</v>
      </c>
      <c r="G250" s="3" t="n">
        <v>0</v>
      </c>
      <c r="H250" s="3" t="n">
        <v>0</v>
      </c>
      <c r="I250" s="3" t="n">
        <v>0</v>
      </c>
      <c r="K250" s="3" t="n">
        <v>0</v>
      </c>
      <c r="L250" s="3" t="n">
        <v>0</v>
      </c>
      <c r="M250" s="3" t="n">
        <v>0</v>
      </c>
    </row>
    <row r="251">
      <c r="A251" t="inlineStr">
        <is>
          <t>Income</t>
        </is>
      </c>
      <c r="C251" s="3">
        <f>C247*C250*C249-C249</f>
        <v/>
      </c>
      <c r="D251" s="3">
        <f>D247*D250*D249-D249</f>
        <v/>
      </c>
      <c r="E251" s="3">
        <f>E247*E250*E249-E249</f>
        <v/>
      </c>
      <c r="G251" s="3">
        <f>G247*G250*G249-G249</f>
        <v/>
      </c>
      <c r="H251" s="3">
        <f>H247*H250*H249-H249</f>
        <v/>
      </c>
      <c r="I251" s="3">
        <f>I247*I250*I249-I249</f>
        <v/>
      </c>
      <c r="K251" s="3">
        <f>K247*K250*K249-K249</f>
        <v/>
      </c>
      <c r="L251" s="3">
        <f>L247*L250*L249-L249</f>
        <v/>
      </c>
      <c r="M251" s="3">
        <f>M247*M250*M249-M249</f>
        <v/>
      </c>
    </row>
    <row r="253">
      <c r="A253" s="1" t="inlineStr">
        <is>
          <t>Ligue 1</t>
        </is>
      </c>
      <c r="C253" s="1" t="inlineStr">
        <is>
          <t>Win/Draw/Lose</t>
        </is>
      </c>
      <c r="E253" s="1">
        <f> 0+C260+D260+E260 + E244</f>
        <v/>
      </c>
      <c r="G253" s="1" t="inlineStr">
        <is>
          <t>1st half winner</t>
        </is>
      </c>
      <c r="I253" s="1">
        <f> 0+G260+H260+I260 + I244</f>
        <v/>
      </c>
      <c r="K253" s="1" t="inlineStr">
        <is>
          <t>2nd half winner</t>
        </is>
      </c>
      <c r="M253" s="1">
        <f> 0+K260+L260+M260 + M244</f>
        <v/>
      </c>
    </row>
    <row r="254">
      <c r="A254" t="inlineStr">
        <is>
          <t>Lille - Nice</t>
        </is>
      </c>
      <c r="C254" s="2" t="inlineStr">
        <is>
          <t>W1</t>
        </is>
      </c>
      <c r="D254" s="2" t="inlineStr">
        <is>
          <t>X</t>
        </is>
      </c>
      <c r="E254" s="2" t="inlineStr">
        <is>
          <t>W2</t>
        </is>
      </c>
      <c r="G254" s="2" t="inlineStr">
        <is>
          <t>1st half W1</t>
        </is>
      </c>
      <c r="H254" s="2" t="inlineStr">
        <is>
          <t>1st half X</t>
        </is>
      </c>
      <c r="I254" s="2" t="inlineStr">
        <is>
          <t>1st half W2</t>
        </is>
      </c>
      <c r="K254" s="2" t="inlineStr">
        <is>
          <t>2st half W1</t>
        </is>
      </c>
      <c r="L254" s="2" t="inlineStr">
        <is>
          <t>2nd half X</t>
        </is>
      </c>
      <c r="M254" s="2" t="inlineStr">
        <is>
          <t>2nd half W2</t>
        </is>
      </c>
    </row>
    <row r="255">
      <c r="A255" t="inlineStr">
        <is>
          <t>App</t>
        </is>
      </c>
      <c r="C255" s="3" t="n">
        <v>1.394</v>
      </c>
      <c r="D255" s="3" t="n">
        <v>4.671</v>
      </c>
      <c r="E255" s="3" t="n">
        <v>9.964</v>
      </c>
      <c r="G255" s="3" t="n">
        <v>1.927</v>
      </c>
      <c r="H255" s="3" t="n">
        <v>2.88</v>
      </c>
      <c r="I255" s="3" t="n">
        <v>4.476</v>
      </c>
      <c r="K255" s="3" t="n">
        <v>3.061</v>
      </c>
      <c r="L255" s="3" t="n">
        <v>1.956</v>
      </c>
      <c r="M255" s="3" t="n">
        <v>45.861</v>
      </c>
    </row>
    <row r="256">
      <c r="A256" t="inlineStr">
        <is>
          <t>Bookmaker</t>
        </is>
      </c>
      <c r="C256" s="3" t="n">
        <v>0</v>
      </c>
      <c r="D256" s="3" t="n">
        <v>0</v>
      </c>
      <c r="E256" s="3" t="n">
        <v>0</v>
      </c>
      <c r="G256" s="3" t="n">
        <v>0</v>
      </c>
      <c r="H256" s="3" t="n">
        <v>0</v>
      </c>
      <c r="I256" s="3" t="n">
        <v>0</v>
      </c>
      <c r="K256" s="3" t="n">
        <v>0</v>
      </c>
      <c r="L256" s="3" t="n">
        <v>0</v>
      </c>
      <c r="M256" s="3" t="n">
        <v>0</v>
      </c>
    </row>
    <row r="257">
      <c r="A257" t="inlineStr">
        <is>
          <t>Expected payoff</t>
        </is>
      </c>
      <c r="C257" s="3">
        <f>C256/C255</f>
        <v/>
      </c>
      <c r="D257" s="3">
        <f>D256/D255</f>
        <v/>
      </c>
      <c r="E257" s="3">
        <f>E256/E255</f>
        <v/>
      </c>
      <c r="G257" s="3">
        <f>G256/G255</f>
        <v/>
      </c>
      <c r="H257" s="3">
        <f>H256/H255</f>
        <v/>
      </c>
      <c r="I257" s="3">
        <f>I256/I255</f>
        <v/>
      </c>
      <c r="K257" s="3">
        <f>K256/K255</f>
        <v/>
      </c>
      <c r="L257" s="3">
        <f>L256/L255</f>
        <v/>
      </c>
      <c r="M257" s="3">
        <f>M256/M255</f>
        <v/>
      </c>
    </row>
    <row r="258">
      <c r="A258" t="inlineStr">
        <is>
          <t>Bet</t>
        </is>
      </c>
      <c r="C258" s="3" t="n">
        <v>0</v>
      </c>
      <c r="D258" s="3" t="n">
        <v>0</v>
      </c>
      <c r="E258" s="3" t="n">
        <v>0</v>
      </c>
      <c r="G258" s="3" t="n">
        <v>0</v>
      </c>
      <c r="H258" s="3" t="n">
        <v>0</v>
      </c>
      <c r="I258" s="3" t="n">
        <v>0</v>
      </c>
      <c r="K258" s="3" t="n">
        <v>0</v>
      </c>
      <c r="L258" s="3" t="n">
        <v>0</v>
      </c>
      <c r="M258" s="3" t="n">
        <v>0</v>
      </c>
    </row>
    <row r="259">
      <c r="A259" t="inlineStr">
        <is>
          <t>Match result</t>
        </is>
      </c>
      <c r="C259" s="3" t="n">
        <v>0</v>
      </c>
      <c r="D259" s="3" t="n">
        <v>0</v>
      </c>
      <c r="E259" s="3" t="n">
        <v>0</v>
      </c>
      <c r="G259" s="3" t="n">
        <v>0</v>
      </c>
      <c r="H259" s="3" t="n">
        <v>0</v>
      </c>
      <c r="I259" s="3" t="n">
        <v>0</v>
      </c>
      <c r="K259" s="3" t="n">
        <v>0</v>
      </c>
      <c r="L259" s="3" t="n">
        <v>0</v>
      </c>
      <c r="M259" s="3" t="n">
        <v>0</v>
      </c>
    </row>
    <row r="260">
      <c r="A260" t="inlineStr">
        <is>
          <t>Income</t>
        </is>
      </c>
      <c r="C260" s="3">
        <f>C256*C259*C258-C258</f>
        <v/>
      </c>
      <c r="D260" s="3">
        <f>D256*D259*D258-D258</f>
        <v/>
      </c>
      <c r="E260" s="3">
        <f>E256*E259*E258-E258</f>
        <v/>
      </c>
      <c r="G260" s="3">
        <f>G256*G259*G258-G258</f>
        <v/>
      </c>
      <c r="H260" s="3">
        <f>H256*H259*H258-H258</f>
        <v/>
      </c>
      <c r="I260" s="3">
        <f>I256*I259*I258-I258</f>
        <v/>
      </c>
      <c r="K260" s="3">
        <f>K256*K259*K258-K258</f>
        <v/>
      </c>
      <c r="L260" s="3">
        <f>L256*L259*L258-L258</f>
        <v/>
      </c>
      <c r="M260" s="3">
        <f>M256*M259*M258-M258</f>
        <v/>
      </c>
    </row>
    <row r="262">
      <c r="A262" s="1" t="inlineStr">
        <is>
          <t>Ligue 1</t>
        </is>
      </c>
      <c r="C262" s="1" t="inlineStr">
        <is>
          <t>Win/Draw/Lose</t>
        </is>
      </c>
      <c r="E262" s="1">
        <f> 0+C269+D269+E269 + E253</f>
        <v/>
      </c>
      <c r="G262" s="1" t="inlineStr">
        <is>
          <t>1st half winner</t>
        </is>
      </c>
      <c r="I262" s="1">
        <f> 0+G269+H269+I269 + I253</f>
        <v/>
      </c>
      <c r="K262" s="1" t="inlineStr">
        <is>
          <t>2nd half winner</t>
        </is>
      </c>
      <c r="M262" s="1">
        <f> 0+K269+L269+M269 + M253</f>
        <v/>
      </c>
    </row>
    <row r="263">
      <c r="A263" t="inlineStr">
        <is>
          <t>Lens - Paris Saint Germain</t>
        </is>
      </c>
      <c r="C263" s="2" t="inlineStr">
        <is>
          <t>W1</t>
        </is>
      </c>
      <c r="D263" s="2" t="inlineStr">
        <is>
          <t>X</t>
        </is>
      </c>
      <c r="E263" s="2" t="inlineStr">
        <is>
          <t>W2</t>
        </is>
      </c>
      <c r="G263" s="2" t="inlineStr">
        <is>
          <t>1st half W1</t>
        </is>
      </c>
      <c r="H263" s="2" t="inlineStr">
        <is>
          <t>1st half X</t>
        </is>
      </c>
      <c r="I263" s="2" t="inlineStr">
        <is>
          <t>1st half W2</t>
        </is>
      </c>
      <c r="K263" s="2" t="inlineStr">
        <is>
          <t>2st half W1</t>
        </is>
      </c>
      <c r="L263" s="2" t="inlineStr">
        <is>
          <t>2nd half X</t>
        </is>
      </c>
      <c r="M263" s="2" t="inlineStr">
        <is>
          <t>2nd half W2</t>
        </is>
      </c>
    </row>
    <row r="264">
      <c r="A264" t="inlineStr">
        <is>
          <t>App</t>
        </is>
      </c>
      <c r="C264" s="3" t="n">
        <v>21.473</v>
      </c>
      <c r="D264" s="3" t="n">
        <v>1.591</v>
      </c>
      <c r="E264" s="3" t="n">
        <v>1.957</v>
      </c>
      <c r="G264" s="3" t="n">
        <v>15.164</v>
      </c>
      <c r="H264" s="3" t="n">
        <v>1.523</v>
      </c>
      <c r="I264" s="3" t="n">
        <v>16.576</v>
      </c>
      <c r="K264" s="3" t="n">
        <v>7.383</v>
      </c>
      <c r="L264" s="3" t="n">
        <v>4.89</v>
      </c>
      <c r="M264" s="3" t="n">
        <v>173.962</v>
      </c>
    </row>
    <row r="265">
      <c r="A265" t="inlineStr">
        <is>
          <t>Bookmaker</t>
        </is>
      </c>
      <c r="C265" s="3" t="n">
        <v>0</v>
      </c>
      <c r="D265" s="3" t="n">
        <v>0</v>
      </c>
      <c r="E265" s="3" t="n">
        <v>0</v>
      </c>
      <c r="G265" s="3" t="n">
        <v>0</v>
      </c>
      <c r="H265" s="3" t="n">
        <v>0</v>
      </c>
      <c r="I265" s="3" t="n">
        <v>0</v>
      </c>
      <c r="K265" s="3" t="n">
        <v>0</v>
      </c>
      <c r="L265" s="3" t="n">
        <v>0</v>
      </c>
      <c r="M265" s="3" t="n">
        <v>0</v>
      </c>
    </row>
    <row r="266">
      <c r="A266" t="inlineStr">
        <is>
          <t>Expected payoff</t>
        </is>
      </c>
      <c r="C266" s="3">
        <f>C265/C264</f>
        <v/>
      </c>
      <c r="D266" s="3">
        <f>D265/D264</f>
        <v/>
      </c>
      <c r="E266" s="3">
        <f>E265/E264</f>
        <v/>
      </c>
      <c r="G266" s="3">
        <f>G265/G264</f>
        <v/>
      </c>
      <c r="H266" s="3">
        <f>H265/H264</f>
        <v/>
      </c>
      <c r="I266" s="3">
        <f>I265/I264</f>
        <v/>
      </c>
      <c r="K266" s="3">
        <f>K265/K264</f>
        <v/>
      </c>
      <c r="L266" s="3">
        <f>L265/L264</f>
        <v/>
      </c>
      <c r="M266" s="3">
        <f>M265/M264</f>
        <v/>
      </c>
    </row>
    <row r="267">
      <c r="A267" t="inlineStr">
        <is>
          <t>Bet</t>
        </is>
      </c>
      <c r="C267" s="3" t="n">
        <v>0</v>
      </c>
      <c r="D267" s="3" t="n">
        <v>0</v>
      </c>
      <c r="E267" s="3" t="n">
        <v>0</v>
      </c>
      <c r="G267" s="3" t="n">
        <v>0</v>
      </c>
      <c r="H267" s="3" t="n">
        <v>0</v>
      </c>
      <c r="I267" s="3" t="n">
        <v>0</v>
      </c>
      <c r="K267" s="3" t="n">
        <v>0</v>
      </c>
      <c r="L267" s="3" t="n">
        <v>0</v>
      </c>
      <c r="M267" s="3" t="n">
        <v>0</v>
      </c>
    </row>
    <row r="268">
      <c r="A268" t="inlineStr">
        <is>
          <t>Match result</t>
        </is>
      </c>
      <c r="C268" s="3" t="n">
        <v>0</v>
      </c>
      <c r="D268" s="3" t="n">
        <v>0</v>
      </c>
      <c r="E268" s="3" t="n">
        <v>0</v>
      </c>
      <c r="G268" s="3" t="n">
        <v>0</v>
      </c>
      <c r="H268" s="3" t="n">
        <v>0</v>
      </c>
      <c r="I268" s="3" t="n">
        <v>0</v>
      </c>
      <c r="K268" s="3" t="n">
        <v>0</v>
      </c>
      <c r="L268" s="3" t="n">
        <v>0</v>
      </c>
      <c r="M268" s="3" t="n">
        <v>0</v>
      </c>
    </row>
    <row r="269">
      <c r="A269" t="inlineStr">
        <is>
          <t>Income</t>
        </is>
      </c>
      <c r="C269" s="3">
        <f>C265*C268*C267-C267</f>
        <v/>
      </c>
      <c r="D269" s="3">
        <f>D265*D268*D267-D267</f>
        <v/>
      </c>
      <c r="E269" s="3">
        <f>E265*E268*E267-E267</f>
        <v/>
      </c>
      <c r="G269" s="3">
        <f>G265*G268*G267-G267</f>
        <v/>
      </c>
      <c r="H269" s="3">
        <f>H265*H268*H267-H267</f>
        <v/>
      </c>
      <c r="I269" s="3">
        <f>I265*I268*I267-I267</f>
        <v/>
      </c>
      <c r="K269" s="3">
        <f>K265*K268*K267-K267</f>
        <v/>
      </c>
      <c r="L269" s="3">
        <f>L265*L268*L267-L267</f>
        <v/>
      </c>
      <c r="M269" s="3">
        <f>M265*M268*M267-M267</f>
        <v/>
      </c>
    </row>
    <row r="271">
      <c r="A271" s="1" t="inlineStr">
        <is>
          <t>Ligue 1</t>
        </is>
      </c>
      <c r="C271" s="1" t="inlineStr">
        <is>
          <t>Win/Draw/Lose</t>
        </is>
      </c>
      <c r="E271" s="1">
        <f> 0+C278+D278+E278 + E262</f>
        <v/>
      </c>
      <c r="G271" s="1" t="inlineStr">
        <is>
          <t>1st half winner</t>
        </is>
      </c>
      <c r="I271" s="1">
        <f> 0+G278+H278+I278 + I262</f>
        <v/>
      </c>
      <c r="K271" s="1" t="inlineStr">
        <is>
          <t>2nd half winner</t>
        </is>
      </c>
      <c r="M271" s="1">
        <f> 0+K278+L278+M278 + M262</f>
        <v/>
      </c>
    </row>
    <row r="272">
      <c r="A272" t="inlineStr">
        <is>
          <t>Rennes - Stade Brestois 29</t>
        </is>
      </c>
      <c r="C272" s="2" t="inlineStr">
        <is>
          <t>W1</t>
        </is>
      </c>
      <c r="D272" s="2" t="inlineStr">
        <is>
          <t>X</t>
        </is>
      </c>
      <c r="E272" s="2" t="inlineStr">
        <is>
          <t>W2</t>
        </is>
      </c>
      <c r="G272" s="2" t="inlineStr">
        <is>
          <t>1st half W1</t>
        </is>
      </c>
      <c r="H272" s="2" t="inlineStr">
        <is>
          <t>1st half X</t>
        </is>
      </c>
      <c r="I272" s="2" t="inlineStr">
        <is>
          <t>1st half W2</t>
        </is>
      </c>
      <c r="K272" s="2" t="inlineStr">
        <is>
          <t>2st half W1</t>
        </is>
      </c>
      <c r="L272" s="2" t="inlineStr">
        <is>
          <t>2nd half X</t>
        </is>
      </c>
      <c r="M272" s="2" t="inlineStr">
        <is>
          <t>2nd half W2</t>
        </is>
      </c>
    </row>
    <row r="273">
      <c r="A273" t="inlineStr">
        <is>
          <t>App</t>
        </is>
      </c>
      <c r="C273" s="3" t="n">
        <v>2.236</v>
      </c>
      <c r="D273" s="3" t="n">
        <v>6.981</v>
      </c>
      <c r="E273" s="3" t="n">
        <v>2.372</v>
      </c>
      <c r="G273" s="3" t="n">
        <v>1.931</v>
      </c>
      <c r="H273" s="3" t="n">
        <v>1.614</v>
      </c>
      <c r="I273" s="3" t="n">
        <v>5.007</v>
      </c>
      <c r="K273" s="3" t="n">
        <v>2.76</v>
      </c>
      <c r="L273" s="3" t="n">
        <v>3.906</v>
      </c>
      <c r="M273" s="3" t="n">
        <v>2.976</v>
      </c>
    </row>
    <row r="274">
      <c r="A274" t="inlineStr">
        <is>
          <t>Bookmaker</t>
        </is>
      </c>
      <c r="C274" s="3" t="n">
        <v>0</v>
      </c>
      <c r="D274" s="3" t="n">
        <v>0</v>
      </c>
      <c r="E274" s="3" t="n">
        <v>0</v>
      </c>
      <c r="G274" s="3" t="n">
        <v>0</v>
      </c>
      <c r="H274" s="3" t="n">
        <v>0</v>
      </c>
      <c r="I274" s="3" t="n">
        <v>0</v>
      </c>
      <c r="K274" s="3" t="n">
        <v>0</v>
      </c>
      <c r="L274" s="3" t="n">
        <v>0</v>
      </c>
      <c r="M274" s="3" t="n">
        <v>0</v>
      </c>
    </row>
    <row r="275">
      <c r="A275" t="inlineStr">
        <is>
          <t>Expected payoff</t>
        </is>
      </c>
      <c r="C275" s="3">
        <f>C274/C273</f>
        <v/>
      </c>
      <c r="D275" s="3">
        <f>D274/D273</f>
        <v/>
      </c>
      <c r="E275" s="3">
        <f>E274/E273</f>
        <v/>
      </c>
      <c r="G275" s="3">
        <f>G274/G273</f>
        <v/>
      </c>
      <c r="H275" s="3">
        <f>H274/H273</f>
        <v/>
      </c>
      <c r="I275" s="3">
        <f>I274/I273</f>
        <v/>
      </c>
      <c r="K275" s="3">
        <f>K274/K273</f>
        <v/>
      </c>
      <c r="L275" s="3">
        <f>L274/L273</f>
        <v/>
      </c>
      <c r="M275" s="3">
        <f>M274/M273</f>
        <v/>
      </c>
    </row>
    <row r="276">
      <c r="A276" t="inlineStr">
        <is>
          <t>Bet</t>
        </is>
      </c>
      <c r="C276" s="3" t="n">
        <v>0</v>
      </c>
      <c r="D276" s="3" t="n">
        <v>0</v>
      </c>
      <c r="E276" s="3" t="n">
        <v>0</v>
      </c>
      <c r="G276" s="3" t="n">
        <v>0</v>
      </c>
      <c r="H276" s="3" t="n">
        <v>0</v>
      </c>
      <c r="I276" s="3" t="n">
        <v>0</v>
      </c>
      <c r="K276" s="3" t="n">
        <v>0</v>
      </c>
      <c r="L276" s="3" t="n">
        <v>0</v>
      </c>
      <c r="M276" s="3" t="n">
        <v>0</v>
      </c>
    </row>
    <row r="277">
      <c r="A277" t="inlineStr">
        <is>
          <t>Match result</t>
        </is>
      </c>
      <c r="C277" s="3" t="n">
        <v>0</v>
      </c>
      <c r="D277" s="3" t="n">
        <v>0</v>
      </c>
      <c r="E277" s="3" t="n">
        <v>0</v>
      </c>
      <c r="G277" s="3" t="n">
        <v>0</v>
      </c>
      <c r="H277" s="3" t="n">
        <v>0</v>
      </c>
      <c r="I277" s="3" t="n">
        <v>0</v>
      </c>
      <c r="K277" s="3" t="n">
        <v>0</v>
      </c>
      <c r="L277" s="3" t="n">
        <v>0</v>
      </c>
      <c r="M277" s="3" t="n">
        <v>0</v>
      </c>
    </row>
    <row r="278">
      <c r="A278" t="inlineStr">
        <is>
          <t>Income</t>
        </is>
      </c>
      <c r="C278" s="3">
        <f>C274*C277*C276-C276</f>
        <v/>
      </c>
      <c r="D278" s="3">
        <f>D274*D277*D276-D276</f>
        <v/>
      </c>
      <c r="E278" s="3">
        <f>E274*E277*E276-E276</f>
        <v/>
      </c>
      <c r="G278" s="3">
        <f>G274*G277*G276-G276</f>
        <v/>
      </c>
      <c r="H278" s="3">
        <f>H274*H277*H276-H276</f>
        <v/>
      </c>
      <c r="I278" s="3">
        <f>I274*I277*I276-I276</f>
        <v/>
      </c>
      <c r="K278" s="3">
        <f>K274*K277*K276-K276</f>
        <v/>
      </c>
      <c r="L278" s="3">
        <f>L274*L277*L276-L276</f>
        <v/>
      </c>
      <c r="M278" s="3">
        <f>M274*M277*M276-M276</f>
        <v/>
      </c>
    </row>
    <row r="280">
      <c r="A280" s="1" t="inlineStr">
        <is>
          <t>Ligue 1</t>
        </is>
      </c>
      <c r="C280" s="1" t="inlineStr">
        <is>
          <t>Win/Draw/Lose</t>
        </is>
      </c>
      <c r="E280" s="1">
        <f> 0+C287+D287+E287 + E271</f>
        <v/>
      </c>
      <c r="G280" s="1" t="inlineStr">
        <is>
          <t>1st half winner</t>
        </is>
      </c>
      <c r="I280" s="1">
        <f> 0+G287+H287+I287 + I271</f>
        <v/>
      </c>
      <c r="K280" s="1" t="inlineStr">
        <is>
          <t>2nd half winner</t>
        </is>
      </c>
      <c r="M280" s="1">
        <f> 0+K287+L287+M287 + M271</f>
        <v/>
      </c>
    </row>
    <row r="281">
      <c r="A281" t="inlineStr">
        <is>
          <t>Lyon - Toulouse</t>
        </is>
      </c>
      <c r="C281" s="2" t="inlineStr">
        <is>
          <t>W1</t>
        </is>
      </c>
      <c r="D281" s="2" t="inlineStr">
        <is>
          <t>X</t>
        </is>
      </c>
      <c r="E281" s="2" t="inlineStr">
        <is>
          <t>W2</t>
        </is>
      </c>
      <c r="G281" s="2" t="inlineStr">
        <is>
          <t>1st half W1</t>
        </is>
      </c>
      <c r="H281" s="2" t="inlineStr">
        <is>
          <t>1st half X</t>
        </is>
      </c>
      <c r="I281" s="2" t="inlineStr">
        <is>
          <t>1st half W2</t>
        </is>
      </c>
      <c r="K281" s="2" t="inlineStr">
        <is>
          <t>2st half W1</t>
        </is>
      </c>
      <c r="L281" s="2" t="inlineStr">
        <is>
          <t>2nd half X</t>
        </is>
      </c>
      <c r="M281" s="2" t="inlineStr">
        <is>
          <t>2nd half W2</t>
        </is>
      </c>
    </row>
    <row r="282">
      <c r="A282" t="inlineStr">
        <is>
          <t>App</t>
        </is>
      </c>
      <c r="C282" s="3" t="n">
        <v>5.788</v>
      </c>
      <c r="D282" s="3" t="n">
        <v>3.483</v>
      </c>
      <c r="E282" s="3" t="n">
        <v>1.787</v>
      </c>
      <c r="G282" s="3" t="n">
        <v>7.962</v>
      </c>
      <c r="H282" s="3" t="n">
        <v>5.292</v>
      </c>
      <c r="I282" s="3" t="n">
        <v>1.539</v>
      </c>
      <c r="K282" s="3" t="n">
        <v>19.88</v>
      </c>
      <c r="L282" s="3" t="n">
        <v>1.679</v>
      </c>
      <c r="M282" s="3" t="n">
        <v>32.39</v>
      </c>
    </row>
    <row r="283">
      <c r="A283" t="inlineStr">
        <is>
          <t>Bookmaker</t>
        </is>
      </c>
      <c r="C283" s="3" t="n">
        <v>0</v>
      </c>
      <c r="D283" s="3" t="n">
        <v>0</v>
      </c>
      <c r="E283" s="3" t="n">
        <v>0</v>
      </c>
      <c r="G283" s="3" t="n">
        <v>0</v>
      </c>
      <c r="H283" s="3" t="n">
        <v>0</v>
      </c>
      <c r="I283" s="3" t="n">
        <v>0</v>
      </c>
      <c r="K283" s="3" t="n">
        <v>0</v>
      </c>
      <c r="L283" s="3" t="n">
        <v>0</v>
      </c>
      <c r="M283" s="3" t="n">
        <v>0</v>
      </c>
    </row>
    <row r="284">
      <c r="A284" t="inlineStr">
        <is>
          <t>Expected payoff</t>
        </is>
      </c>
      <c r="C284" s="3">
        <f>C283/C282</f>
        <v/>
      </c>
      <c r="D284" s="3">
        <f>D283/D282</f>
        <v/>
      </c>
      <c r="E284" s="3">
        <f>E283/E282</f>
        <v/>
      </c>
      <c r="G284" s="3">
        <f>G283/G282</f>
        <v/>
      </c>
      <c r="H284" s="3">
        <f>H283/H282</f>
        <v/>
      </c>
      <c r="I284" s="3">
        <f>I283/I282</f>
        <v/>
      </c>
      <c r="K284" s="3">
        <f>K283/K282</f>
        <v/>
      </c>
      <c r="L284" s="3">
        <f>L283/L282</f>
        <v/>
      </c>
      <c r="M284" s="3">
        <f>M283/M282</f>
        <v/>
      </c>
    </row>
    <row r="285">
      <c r="A285" t="inlineStr">
        <is>
          <t>Bet</t>
        </is>
      </c>
      <c r="C285" s="3" t="n">
        <v>0</v>
      </c>
      <c r="D285" s="3" t="n">
        <v>0</v>
      </c>
      <c r="E285" s="3" t="n">
        <v>0</v>
      </c>
      <c r="G285" s="3" t="n">
        <v>0</v>
      </c>
      <c r="H285" s="3" t="n">
        <v>0</v>
      </c>
      <c r="I285" s="3" t="n">
        <v>0</v>
      </c>
      <c r="K285" s="3" t="n">
        <v>0</v>
      </c>
      <c r="L285" s="3" t="n">
        <v>0</v>
      </c>
      <c r="M285" s="3" t="n">
        <v>0</v>
      </c>
    </row>
    <row r="286">
      <c r="A286" t="inlineStr">
        <is>
          <t>Match result</t>
        </is>
      </c>
      <c r="C286" s="3" t="n">
        <v>0</v>
      </c>
      <c r="D286" s="3" t="n">
        <v>0</v>
      </c>
      <c r="E286" s="3" t="n">
        <v>0</v>
      </c>
      <c r="G286" s="3" t="n">
        <v>0</v>
      </c>
      <c r="H286" s="3" t="n">
        <v>0</v>
      </c>
      <c r="I286" s="3" t="n">
        <v>0</v>
      </c>
      <c r="K286" s="3" t="n">
        <v>0</v>
      </c>
      <c r="L286" s="3" t="n">
        <v>0</v>
      </c>
      <c r="M286" s="3" t="n">
        <v>0</v>
      </c>
    </row>
    <row r="287">
      <c r="A287" t="inlineStr">
        <is>
          <t>Income</t>
        </is>
      </c>
      <c r="C287" s="3">
        <f>C283*C286*C285-C285</f>
        <v/>
      </c>
      <c r="D287" s="3">
        <f>D283*D286*D285-D285</f>
        <v/>
      </c>
      <c r="E287" s="3">
        <f>E283*E286*E285-E285</f>
        <v/>
      </c>
      <c r="G287" s="3">
        <f>G283*G286*G285-G285</f>
        <v/>
      </c>
      <c r="H287" s="3">
        <f>H283*H286*H285-H285</f>
        <v/>
      </c>
      <c r="I287" s="3">
        <f>I283*I286*I285-I285</f>
        <v/>
      </c>
      <c r="K287" s="3">
        <f>K283*K286*K285-K285</f>
        <v/>
      </c>
      <c r="L287" s="3">
        <f>L283*L286*L285-L285</f>
        <v/>
      </c>
      <c r="M287" s="3">
        <f>M283*M286*M285-M285</f>
        <v/>
      </c>
    </row>
    <row r="289">
      <c r="A289" s="1" t="inlineStr">
        <is>
          <t>Ligue 1</t>
        </is>
      </c>
      <c r="C289" s="1" t="inlineStr">
        <is>
          <t>Win/Draw/Lose</t>
        </is>
      </c>
      <c r="E289" s="1">
        <f> 0+C296+D296+E296 + E280</f>
        <v/>
      </c>
      <c r="G289" s="1" t="inlineStr">
        <is>
          <t>1st half winner</t>
        </is>
      </c>
      <c r="I289" s="1">
        <f> 0+G296+H296+I296 + I280</f>
        <v/>
      </c>
      <c r="K289" s="1" t="inlineStr">
        <is>
          <t>2nd half winner</t>
        </is>
      </c>
      <c r="M289" s="1">
        <f> 0+K296+L296+M296 + M280</f>
        <v/>
      </c>
    </row>
    <row r="290">
      <c r="A290" t="inlineStr">
        <is>
          <t>Saint Etienne - Nantes</t>
        </is>
      </c>
      <c r="C290" s="2" t="inlineStr">
        <is>
          <t>W1</t>
        </is>
      </c>
      <c r="D290" s="2" t="inlineStr">
        <is>
          <t>X</t>
        </is>
      </c>
      <c r="E290" s="2" t="inlineStr">
        <is>
          <t>W2</t>
        </is>
      </c>
      <c r="G290" s="2" t="inlineStr">
        <is>
          <t>1st half W1</t>
        </is>
      </c>
      <c r="H290" s="2" t="inlineStr">
        <is>
          <t>1st half X</t>
        </is>
      </c>
      <c r="I290" s="2" t="inlineStr">
        <is>
          <t>1st half W2</t>
        </is>
      </c>
      <c r="K290" s="2" t="inlineStr">
        <is>
          <t>2st half W1</t>
        </is>
      </c>
      <c r="L290" s="2" t="inlineStr">
        <is>
          <t>2nd half X</t>
        </is>
      </c>
      <c r="M290" s="2" t="inlineStr">
        <is>
          <t>2nd half W2</t>
        </is>
      </c>
    </row>
    <row r="291">
      <c r="A291" t="inlineStr">
        <is>
          <t>App</t>
        </is>
      </c>
      <c r="C291" s="3" t="n">
        <v>2.26</v>
      </c>
      <c r="D291" s="3" t="n">
        <v>5.169</v>
      </c>
      <c r="E291" s="3" t="n">
        <v>2.321</v>
      </c>
      <c r="G291" s="3" t="n">
        <v>6.498</v>
      </c>
      <c r="H291" s="3" t="n">
        <v>2.994</v>
      </c>
      <c r="I291" s="3" t="n">
        <v>8.74</v>
      </c>
      <c r="K291" s="3" t="n">
        <v>1.553</v>
      </c>
      <c r="L291" s="3" t="n">
        <v>35.029</v>
      </c>
      <c r="M291" s="3" t="n">
        <v>3.761</v>
      </c>
    </row>
    <row r="292">
      <c r="A292" t="inlineStr">
        <is>
          <t>Bookmaker</t>
        </is>
      </c>
      <c r="C292" s="3" t="n">
        <v>0</v>
      </c>
      <c r="D292" s="3" t="n">
        <v>0</v>
      </c>
      <c r="E292" s="3" t="n">
        <v>0</v>
      </c>
      <c r="G292" s="3" t="n">
        <v>0</v>
      </c>
      <c r="H292" s="3" t="n">
        <v>0</v>
      </c>
      <c r="I292" s="3" t="n">
        <v>0</v>
      </c>
      <c r="K292" s="3" t="n">
        <v>0</v>
      </c>
      <c r="L292" s="3" t="n">
        <v>0</v>
      </c>
      <c r="M292" s="3" t="n">
        <v>0</v>
      </c>
    </row>
    <row r="293">
      <c r="A293" t="inlineStr">
        <is>
          <t>Expected payoff</t>
        </is>
      </c>
      <c r="C293" s="3">
        <f>C292/C291</f>
        <v/>
      </c>
      <c r="D293" s="3">
        <f>D292/D291</f>
        <v/>
      </c>
      <c r="E293" s="3">
        <f>E292/E291</f>
        <v/>
      </c>
      <c r="G293" s="3">
        <f>G292/G291</f>
        <v/>
      </c>
      <c r="H293" s="3">
        <f>H292/H291</f>
        <v/>
      </c>
      <c r="I293" s="3">
        <f>I292/I291</f>
        <v/>
      </c>
      <c r="K293" s="3">
        <f>K292/K291</f>
        <v/>
      </c>
      <c r="L293" s="3">
        <f>L292/L291</f>
        <v/>
      </c>
      <c r="M293" s="3">
        <f>M292/M291</f>
        <v/>
      </c>
    </row>
    <row r="294">
      <c r="A294" t="inlineStr">
        <is>
          <t>Bet</t>
        </is>
      </c>
      <c r="C294" s="3" t="n">
        <v>0</v>
      </c>
      <c r="D294" s="3" t="n">
        <v>0</v>
      </c>
      <c r="E294" s="3" t="n">
        <v>0</v>
      </c>
      <c r="G294" s="3" t="n">
        <v>0</v>
      </c>
      <c r="H294" s="3" t="n">
        <v>0</v>
      </c>
      <c r="I294" s="3" t="n">
        <v>0</v>
      </c>
      <c r="K294" s="3" t="n">
        <v>0</v>
      </c>
      <c r="L294" s="3" t="n">
        <v>0</v>
      </c>
      <c r="M294" s="3" t="n">
        <v>0</v>
      </c>
    </row>
    <row r="295">
      <c r="A295" t="inlineStr">
        <is>
          <t>Match result</t>
        </is>
      </c>
      <c r="C295" s="3" t="n">
        <v>0</v>
      </c>
      <c r="D295" s="3" t="n">
        <v>0</v>
      </c>
      <c r="E295" s="3" t="n">
        <v>0</v>
      </c>
      <c r="G295" s="3" t="n">
        <v>0</v>
      </c>
      <c r="H295" s="3" t="n">
        <v>0</v>
      </c>
      <c r="I295" s="3" t="n">
        <v>0</v>
      </c>
      <c r="K295" s="3" t="n">
        <v>0</v>
      </c>
      <c r="L295" s="3" t="n">
        <v>0</v>
      </c>
      <c r="M295" s="3" t="n">
        <v>0</v>
      </c>
    </row>
    <row r="296">
      <c r="A296" t="inlineStr">
        <is>
          <t>Income</t>
        </is>
      </c>
      <c r="C296" s="3">
        <f>C292*C295*C294-C294</f>
        <v/>
      </c>
      <c r="D296" s="3">
        <f>D292*D295*D294-D294</f>
        <v/>
      </c>
      <c r="E296" s="3">
        <f>E292*E295*E294-E294</f>
        <v/>
      </c>
      <c r="G296" s="3">
        <f>G292*G295*G294-G294</f>
        <v/>
      </c>
      <c r="H296" s="3">
        <f>H292*H295*H294-H294</f>
        <v/>
      </c>
      <c r="I296" s="3">
        <f>I292*I295*I294-I294</f>
        <v/>
      </c>
      <c r="K296" s="3">
        <f>K292*K295*K294-K294</f>
        <v/>
      </c>
      <c r="L296" s="3">
        <f>L292*L295*L294-L294</f>
        <v/>
      </c>
      <c r="M296" s="3">
        <f>M292*M295*M294-M294</f>
        <v/>
      </c>
    </row>
    <row r="298">
      <c r="A298" s="1" t="inlineStr">
        <is>
          <t>Ligue 1</t>
        </is>
      </c>
      <c r="C298" s="1" t="inlineStr">
        <is>
          <t>Win/Draw/Lose</t>
        </is>
      </c>
      <c r="E298" s="1">
        <f> 0+C305+D305+E305 + E289</f>
        <v/>
      </c>
      <c r="G298" s="1" t="inlineStr">
        <is>
          <t>1st half winner</t>
        </is>
      </c>
      <c r="I298" s="1">
        <f> 0+G305+H305+I305 + I289</f>
        <v/>
      </c>
      <c r="K298" s="1" t="inlineStr">
        <is>
          <t>2nd half winner</t>
        </is>
      </c>
      <c r="M298" s="1">
        <f> 0+K305+L305+M305 + M289</f>
        <v/>
      </c>
    </row>
    <row r="299">
      <c r="A299" t="inlineStr">
        <is>
          <t>Marseille - Strasbourg</t>
        </is>
      </c>
      <c r="C299" s="2" t="inlineStr">
        <is>
          <t>W1</t>
        </is>
      </c>
      <c r="D299" s="2" t="inlineStr">
        <is>
          <t>X</t>
        </is>
      </c>
      <c r="E299" s="2" t="inlineStr">
        <is>
          <t>W2</t>
        </is>
      </c>
      <c r="G299" s="2" t="inlineStr">
        <is>
          <t>1st half W1</t>
        </is>
      </c>
      <c r="H299" s="2" t="inlineStr">
        <is>
          <t>1st half X</t>
        </is>
      </c>
      <c r="I299" s="2" t="inlineStr">
        <is>
          <t>1st half W2</t>
        </is>
      </c>
      <c r="K299" s="2" t="inlineStr">
        <is>
          <t>2st half W1</t>
        </is>
      </c>
      <c r="L299" s="2" t="inlineStr">
        <is>
          <t>2nd half X</t>
        </is>
      </c>
      <c r="M299" s="2" t="inlineStr">
        <is>
          <t>2nd half W2</t>
        </is>
      </c>
    </row>
    <row r="300">
      <c r="A300" t="inlineStr">
        <is>
          <t>App</t>
        </is>
      </c>
      <c r="C300" s="3" t="n">
        <v>1.695</v>
      </c>
      <c r="D300" s="3" t="n">
        <v>2.182</v>
      </c>
      <c r="E300" s="3" t="n">
        <v>8.007</v>
      </c>
      <c r="G300" s="3" t="n">
        <v>5.561</v>
      </c>
      <c r="H300" s="3" t="n">
        <v>8.664</v>
      </c>
      <c r="I300" s="3" t="n">
        <v>3.919</v>
      </c>
      <c r="K300" s="3" t="n">
        <v>1.126</v>
      </c>
      <c r="L300" s="3" t="n">
        <v>1.905</v>
      </c>
      <c r="M300" s="3" t="n">
        <v>7.289</v>
      </c>
    </row>
    <row r="301">
      <c r="A301" t="inlineStr">
        <is>
          <t>Bookmaker</t>
        </is>
      </c>
      <c r="C301" s="3" t="n">
        <v>0</v>
      </c>
      <c r="D301" s="3" t="n">
        <v>0</v>
      </c>
      <c r="E301" s="3" t="n">
        <v>0</v>
      </c>
      <c r="G301" s="3" t="n">
        <v>0</v>
      </c>
      <c r="H301" s="3" t="n">
        <v>0</v>
      </c>
      <c r="I301" s="3" t="n">
        <v>0</v>
      </c>
      <c r="K301" s="3" t="n">
        <v>0</v>
      </c>
      <c r="L301" s="3" t="n">
        <v>0</v>
      </c>
      <c r="M301" s="3" t="n">
        <v>0</v>
      </c>
    </row>
    <row r="302">
      <c r="A302" t="inlineStr">
        <is>
          <t>Expected payoff</t>
        </is>
      </c>
      <c r="C302" s="3">
        <f>C301/C300</f>
        <v/>
      </c>
      <c r="D302" s="3">
        <f>D301/D300</f>
        <v/>
      </c>
      <c r="E302" s="3">
        <f>E301/E300</f>
        <v/>
      </c>
      <c r="G302" s="3">
        <f>G301/G300</f>
        <v/>
      </c>
      <c r="H302" s="3">
        <f>H301/H300</f>
        <v/>
      </c>
      <c r="I302" s="3">
        <f>I301/I300</f>
        <v/>
      </c>
      <c r="K302" s="3">
        <f>K301/K300</f>
        <v/>
      </c>
      <c r="L302" s="3">
        <f>L301/L300</f>
        <v/>
      </c>
      <c r="M302" s="3">
        <f>M301/M300</f>
        <v/>
      </c>
    </row>
    <row r="303">
      <c r="A303" t="inlineStr">
        <is>
          <t>Bet</t>
        </is>
      </c>
      <c r="C303" s="3" t="n">
        <v>0</v>
      </c>
      <c r="D303" s="3" t="n">
        <v>0</v>
      </c>
      <c r="E303" s="3" t="n">
        <v>0</v>
      </c>
      <c r="G303" s="3" t="n">
        <v>0</v>
      </c>
      <c r="H303" s="3" t="n">
        <v>0</v>
      </c>
      <c r="I303" s="3" t="n">
        <v>0</v>
      </c>
      <c r="K303" s="3" t="n">
        <v>0</v>
      </c>
      <c r="L303" s="3" t="n">
        <v>0</v>
      </c>
      <c r="M303" s="3" t="n">
        <v>0</v>
      </c>
    </row>
    <row r="304">
      <c r="A304" t="inlineStr">
        <is>
          <t>Match result</t>
        </is>
      </c>
      <c r="C304" s="3" t="n">
        <v>0</v>
      </c>
      <c r="D304" s="3" t="n">
        <v>0</v>
      </c>
      <c r="E304" s="3" t="n">
        <v>0</v>
      </c>
      <c r="G304" s="3" t="n">
        <v>0</v>
      </c>
      <c r="H304" s="3" t="n">
        <v>0</v>
      </c>
      <c r="I304" s="3" t="n">
        <v>0</v>
      </c>
      <c r="K304" s="3" t="n">
        <v>0</v>
      </c>
      <c r="L304" s="3" t="n">
        <v>0</v>
      </c>
      <c r="M304" s="3" t="n">
        <v>0</v>
      </c>
    </row>
    <row r="305">
      <c r="A305" t="inlineStr">
        <is>
          <t>Income</t>
        </is>
      </c>
      <c r="C305" s="3">
        <f>C301*C304*C303-C303</f>
        <v/>
      </c>
      <c r="D305" s="3">
        <f>D301*D304*D303-D303</f>
        <v/>
      </c>
      <c r="E305" s="3">
        <f>E301*E304*E303-E303</f>
        <v/>
      </c>
      <c r="G305" s="3">
        <f>G301*G304*G303-G303</f>
        <v/>
      </c>
      <c r="H305" s="3">
        <f>H301*H304*H303-H303</f>
        <v/>
      </c>
      <c r="I305" s="3">
        <f>I301*I304*I303-I303</f>
        <v/>
      </c>
      <c r="K305" s="3">
        <f>K301*K304*K303-K303</f>
        <v/>
      </c>
      <c r="L305" s="3">
        <f>L301*L304*L303-L303</f>
        <v/>
      </c>
      <c r="M305" s="3">
        <f>M301*M304*M303-M303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A</t>
        </is>
      </c>
      <c r="C1" s="1" t="inlineStr">
        <is>
          <t>Win/Draw/Lose</t>
        </is>
      </c>
      <c r="E1" s="1">
        <f> 0+C8+D8+E8</f>
        <v/>
      </c>
      <c r="G1" s="1" t="inlineStr">
        <is>
          <t>1st half winner</t>
        </is>
      </c>
      <c r="I1" s="1">
        <f> 0+G8+H8+I8</f>
        <v/>
      </c>
      <c r="K1" s="1" t="inlineStr">
        <is>
          <t>2nd half winner</t>
        </is>
      </c>
      <c r="M1" s="1">
        <f> 0+K8+L8+M8</f>
        <v/>
      </c>
    </row>
    <row r="2">
      <c r="A2" t="inlineStr">
        <is>
          <t>Empoli - Lecce</t>
        </is>
      </c>
      <c r="C2" s="2" t="inlineStr">
        <is>
          <t>W1</t>
        </is>
      </c>
      <c r="D2" s="2" t="inlineStr">
        <is>
          <t>X</t>
        </is>
      </c>
      <c r="E2" s="2" t="inlineStr">
        <is>
          <t>W2</t>
        </is>
      </c>
      <c r="G2" s="2" t="inlineStr">
        <is>
          <t>1st half W1</t>
        </is>
      </c>
      <c r="H2" s="2" t="inlineStr">
        <is>
          <t>1st half X</t>
        </is>
      </c>
      <c r="I2" s="2" t="inlineStr">
        <is>
          <t>1st half W2</t>
        </is>
      </c>
      <c r="K2" s="2" t="inlineStr">
        <is>
          <t>2st half W1</t>
        </is>
      </c>
      <c r="L2" s="2" t="inlineStr">
        <is>
          <t>2nd half X</t>
        </is>
      </c>
      <c r="M2" s="2" t="inlineStr">
        <is>
          <t>2nd half W2</t>
        </is>
      </c>
    </row>
    <row r="3">
      <c r="A3" t="inlineStr">
        <is>
          <t>App</t>
        </is>
      </c>
      <c r="C3" s="3" t="n">
        <v>1.829</v>
      </c>
      <c r="D3" s="3" t="n">
        <v>5.24</v>
      </c>
      <c r="E3" s="3" t="n">
        <v>3.808</v>
      </c>
      <c r="G3" s="3" t="n">
        <v>49.827</v>
      </c>
      <c r="H3" s="3" t="n">
        <v>1.072</v>
      </c>
      <c r="I3" s="3" t="n">
        <v>21.066</v>
      </c>
      <c r="K3" s="3" t="n">
        <v>8.951000000000001</v>
      </c>
      <c r="L3" s="3" t="n">
        <v>3.605</v>
      </c>
      <c r="M3" s="3" t="n">
        <v>1.636</v>
      </c>
    </row>
    <row r="4">
      <c r="A4" t="inlineStr">
        <is>
          <t>Bookmaker</t>
        </is>
      </c>
      <c r="C4" s="3" t="n">
        <v>0</v>
      </c>
      <c r="D4" s="3" t="n">
        <v>0</v>
      </c>
      <c r="E4" s="3" t="n">
        <v>0</v>
      </c>
      <c r="G4" s="3" t="n">
        <v>0</v>
      </c>
      <c r="H4" s="3" t="n">
        <v>0</v>
      </c>
      <c r="I4" s="3" t="n">
        <v>0</v>
      </c>
      <c r="K4" s="3" t="n">
        <v>0</v>
      </c>
      <c r="L4" s="3" t="n">
        <v>0</v>
      </c>
      <c r="M4" s="3" t="n">
        <v>0</v>
      </c>
    </row>
    <row r="5">
      <c r="A5" t="inlineStr">
        <is>
          <t>Expected payoff</t>
        </is>
      </c>
      <c r="C5" s="3">
        <f>C4/C3</f>
        <v/>
      </c>
      <c r="D5" s="3">
        <f>D4/D3</f>
        <v/>
      </c>
      <c r="E5" s="3">
        <f>E4/E3</f>
        <v/>
      </c>
      <c r="G5" s="3">
        <f>G4/G3</f>
        <v/>
      </c>
      <c r="H5" s="3">
        <f>H4/H3</f>
        <v/>
      </c>
      <c r="I5" s="3">
        <f>I4/I3</f>
        <v/>
      </c>
      <c r="K5" s="3">
        <f>K4/K3</f>
        <v/>
      </c>
      <c r="L5" s="3">
        <f>L4/L3</f>
        <v/>
      </c>
      <c r="M5" s="3">
        <f>M4/M3</f>
        <v/>
      </c>
    </row>
    <row r="6">
      <c r="A6" t="inlineStr">
        <is>
          <t>Bet</t>
        </is>
      </c>
      <c r="C6" s="3" t="n">
        <v>0</v>
      </c>
      <c r="D6" s="3" t="n">
        <v>0</v>
      </c>
      <c r="E6" s="3" t="n">
        <v>0</v>
      </c>
      <c r="G6" s="3" t="n">
        <v>0</v>
      </c>
      <c r="H6" s="3" t="n">
        <v>0</v>
      </c>
      <c r="I6" s="3" t="n">
        <v>0</v>
      </c>
      <c r="K6" s="3" t="n">
        <v>0</v>
      </c>
      <c r="L6" s="3" t="n">
        <v>0</v>
      </c>
      <c r="M6" s="3" t="n">
        <v>0</v>
      </c>
    </row>
    <row r="7">
      <c r="A7" t="inlineStr">
        <is>
          <t>Match result</t>
        </is>
      </c>
      <c r="C7" s="3" t="n">
        <v>0</v>
      </c>
      <c r="D7" s="3" t="n">
        <v>0</v>
      </c>
      <c r="E7" s="3" t="n">
        <v>0</v>
      </c>
      <c r="G7" s="3" t="n">
        <v>0</v>
      </c>
      <c r="H7" s="3" t="n">
        <v>0</v>
      </c>
      <c r="I7" s="3" t="n">
        <v>0</v>
      </c>
      <c r="K7" s="3" t="n">
        <v>0</v>
      </c>
      <c r="L7" s="3" t="n">
        <v>0</v>
      </c>
      <c r="M7" s="3" t="n">
        <v>0</v>
      </c>
    </row>
    <row r="8">
      <c r="A8" t="inlineStr">
        <is>
          <t>Income</t>
        </is>
      </c>
      <c r="C8" s="3">
        <f>C4*C7*C6-C6</f>
        <v/>
      </c>
      <c r="D8" s="3">
        <f>D4*D7*D6-D6</f>
        <v/>
      </c>
      <c r="E8" s="3">
        <f>E4*E7*E6-E6</f>
        <v/>
      </c>
      <c r="G8" s="3">
        <f>G4*G7*G6-G6</f>
        <v/>
      </c>
      <c r="H8" s="3">
        <f>H4*H7*H6-H6</f>
        <v/>
      </c>
      <c r="I8" s="3">
        <f>I4*I7*I6-I6</f>
        <v/>
      </c>
      <c r="K8" s="3">
        <f>K4*K7*K6-K6</f>
        <v/>
      </c>
      <c r="L8" s="3">
        <f>L4*L7*L6-L6</f>
        <v/>
      </c>
      <c r="M8" s="3">
        <f>M4*M7*M6-M6</f>
        <v/>
      </c>
    </row>
    <row r="10">
      <c r="A10" s="1" t="inlineStr">
        <is>
          <t>Serie A</t>
        </is>
      </c>
      <c r="C10" s="1" t="inlineStr">
        <is>
          <t>Win/Draw/Lose</t>
        </is>
      </c>
      <c r="E10" s="1">
        <f> 0+C17+D17+E17 + E1</f>
        <v/>
      </c>
      <c r="G10" s="1" t="inlineStr">
        <is>
          <t>1st half winner</t>
        </is>
      </c>
      <c r="I10" s="1">
        <f> 0+G17+H17+I17 + I1</f>
        <v/>
      </c>
      <c r="K10" s="1" t="inlineStr">
        <is>
          <t>2nd half winner</t>
        </is>
      </c>
      <c r="M10" s="1">
        <f> 0+K17+L17+M17 + M1</f>
        <v/>
      </c>
    </row>
    <row r="11">
      <c r="A11" t="inlineStr">
        <is>
          <t>Udinese - Atalanta</t>
        </is>
      </c>
      <c r="C11" s="2" t="inlineStr">
        <is>
          <t>W1</t>
        </is>
      </c>
      <c r="D11" s="2" t="inlineStr">
        <is>
          <t>X</t>
        </is>
      </c>
      <c r="E11" s="2" t="inlineStr">
        <is>
          <t>W2</t>
        </is>
      </c>
      <c r="G11" s="2" t="inlineStr">
        <is>
          <t>1st half W1</t>
        </is>
      </c>
      <c r="H11" s="2" t="inlineStr">
        <is>
          <t>1st half X</t>
        </is>
      </c>
      <c r="I11" s="2" t="inlineStr">
        <is>
          <t>1st half W2</t>
        </is>
      </c>
      <c r="K11" s="2" t="inlineStr">
        <is>
          <t>2st half W1</t>
        </is>
      </c>
      <c r="L11" s="2" t="inlineStr">
        <is>
          <t>2nd half X</t>
        </is>
      </c>
      <c r="M11" s="2" t="inlineStr">
        <is>
          <t>2nd half W2</t>
        </is>
      </c>
    </row>
    <row r="12">
      <c r="A12" t="inlineStr">
        <is>
          <t>App</t>
        </is>
      </c>
      <c r="C12" s="3" t="n">
        <v>5.845</v>
      </c>
      <c r="D12" s="3" t="n">
        <v>1.752</v>
      </c>
      <c r="E12" s="3" t="n">
        <v>3.873</v>
      </c>
      <c r="G12" s="3" t="n">
        <v>15.505</v>
      </c>
      <c r="H12" s="3" t="n">
        <v>1.868</v>
      </c>
      <c r="I12" s="3" t="n">
        <v>2.497</v>
      </c>
      <c r="K12" s="3" t="n">
        <v>3.414</v>
      </c>
      <c r="L12" s="3" t="n">
        <v>2.536</v>
      </c>
      <c r="M12" s="3" t="n">
        <v>3.196</v>
      </c>
    </row>
    <row r="13">
      <c r="A13" t="inlineStr">
        <is>
          <t>Bookmaker</t>
        </is>
      </c>
      <c r="C13" s="3" t="n">
        <v>0</v>
      </c>
      <c r="D13" s="3" t="n">
        <v>0</v>
      </c>
      <c r="E13" s="3" t="n">
        <v>0</v>
      </c>
      <c r="G13" s="3" t="n">
        <v>0</v>
      </c>
      <c r="H13" s="3" t="n">
        <v>0</v>
      </c>
      <c r="I13" s="3" t="n">
        <v>0</v>
      </c>
      <c r="K13" s="3" t="n">
        <v>0</v>
      </c>
      <c r="L13" s="3" t="n">
        <v>0</v>
      </c>
      <c r="M13" s="3" t="n">
        <v>0</v>
      </c>
    </row>
    <row r="14">
      <c r="A14" t="inlineStr">
        <is>
          <t>Expected payoff</t>
        </is>
      </c>
      <c r="C14" s="3">
        <f>C13/C12</f>
        <v/>
      </c>
      <c r="D14" s="3">
        <f>D13/D12</f>
        <v/>
      </c>
      <c r="E14" s="3">
        <f>E13/E12</f>
        <v/>
      </c>
      <c r="G14" s="3">
        <f>G13/G12</f>
        <v/>
      </c>
      <c r="H14" s="3">
        <f>H13/H12</f>
        <v/>
      </c>
      <c r="I14" s="3">
        <f>I13/I12</f>
        <v/>
      </c>
      <c r="K14" s="3">
        <f>K13/K12</f>
        <v/>
      </c>
      <c r="L14" s="3">
        <f>L13/L12</f>
        <v/>
      </c>
      <c r="M14" s="3">
        <f>M13/M12</f>
        <v/>
      </c>
    </row>
    <row r="15">
      <c r="A15" t="inlineStr">
        <is>
          <t>Bet</t>
        </is>
      </c>
      <c r="C15" s="3" t="n">
        <v>0</v>
      </c>
      <c r="D15" s="3" t="n">
        <v>0</v>
      </c>
      <c r="E15" s="3" t="n">
        <v>0</v>
      </c>
      <c r="G15" s="3" t="n">
        <v>0</v>
      </c>
      <c r="H15" s="3" t="n">
        <v>0</v>
      </c>
      <c r="I15" s="3" t="n">
        <v>0</v>
      </c>
      <c r="K15" s="3" t="n">
        <v>0</v>
      </c>
      <c r="L15" s="3" t="n">
        <v>0</v>
      </c>
      <c r="M15" s="3" t="n">
        <v>0</v>
      </c>
    </row>
    <row r="16">
      <c r="A16" t="inlineStr">
        <is>
          <t>Match result</t>
        </is>
      </c>
      <c r="C16" s="3" t="n">
        <v>0</v>
      </c>
      <c r="D16" s="3" t="n">
        <v>0</v>
      </c>
      <c r="E16" s="3" t="n">
        <v>0</v>
      </c>
      <c r="G16" s="3" t="n">
        <v>0</v>
      </c>
      <c r="H16" s="3" t="n">
        <v>0</v>
      </c>
      <c r="I16" s="3" t="n">
        <v>0</v>
      </c>
      <c r="K16" s="3" t="n">
        <v>0</v>
      </c>
      <c r="L16" s="3" t="n">
        <v>0</v>
      </c>
      <c r="M16" s="3" t="n">
        <v>0</v>
      </c>
    </row>
    <row r="17">
      <c r="A17" t="inlineStr">
        <is>
          <t>Income</t>
        </is>
      </c>
      <c r="C17" s="3">
        <f>C13*C16*C15-C15</f>
        <v/>
      </c>
      <c r="D17" s="3">
        <f>D13*D16*D15-D15</f>
        <v/>
      </c>
      <c r="E17" s="3">
        <f>E13*E16*E15-E15</f>
        <v/>
      </c>
      <c r="G17" s="3">
        <f>G13*G16*G15-G15</f>
        <v/>
      </c>
      <c r="H17" s="3">
        <f>H13*H16*H15-H15</f>
        <v/>
      </c>
      <c r="I17" s="3">
        <f>I13*I16*I15-I15</f>
        <v/>
      </c>
      <c r="K17" s="3">
        <f>K13*K16*K15-K15</f>
        <v/>
      </c>
      <c r="L17" s="3">
        <f>L13*L16*L15-L15</f>
        <v/>
      </c>
      <c r="M17" s="3">
        <f>M13*M16*M15-M15</f>
        <v/>
      </c>
    </row>
    <row r="19">
      <c r="A19" s="1" t="inlineStr">
        <is>
          <t>Serie A</t>
        </is>
      </c>
      <c r="C19" s="1" t="inlineStr">
        <is>
          <t>Win/Draw/Lose</t>
        </is>
      </c>
      <c r="E19" s="1">
        <f> 0+C26+D26+E26 + E10</f>
        <v/>
      </c>
      <c r="G19" s="1" t="inlineStr">
        <is>
          <t>1st half winner</t>
        </is>
      </c>
      <c r="I19" s="1">
        <f> 0+G26+H26+I26 + I10</f>
        <v/>
      </c>
      <c r="K19" s="1" t="inlineStr">
        <is>
          <t>2nd half winner</t>
        </is>
      </c>
      <c r="M19" s="1">
        <f> 0+K26+L26+M26 + M10</f>
        <v/>
      </c>
    </row>
    <row r="20">
      <c r="A20" t="inlineStr">
        <is>
          <t>Torino - Juventus</t>
        </is>
      </c>
      <c r="C20" s="2" t="inlineStr">
        <is>
          <t>W1</t>
        </is>
      </c>
      <c r="D20" s="2" t="inlineStr">
        <is>
          <t>X</t>
        </is>
      </c>
      <c r="E20" s="2" t="inlineStr">
        <is>
          <t>W2</t>
        </is>
      </c>
      <c r="G20" s="2" t="inlineStr">
        <is>
          <t>1st half W1</t>
        </is>
      </c>
      <c r="H20" s="2" t="inlineStr">
        <is>
          <t>1st half X</t>
        </is>
      </c>
      <c r="I20" s="2" t="inlineStr">
        <is>
          <t>1st half W2</t>
        </is>
      </c>
      <c r="K20" s="2" t="inlineStr">
        <is>
          <t>2st half W1</t>
        </is>
      </c>
      <c r="L20" s="2" t="inlineStr">
        <is>
          <t>2nd half X</t>
        </is>
      </c>
      <c r="M20" s="2" t="inlineStr">
        <is>
          <t>2nd half W2</t>
        </is>
      </c>
    </row>
    <row r="21">
      <c r="A21" t="inlineStr">
        <is>
          <t>App</t>
        </is>
      </c>
      <c r="C21" s="3" t="n">
        <v>18.982</v>
      </c>
      <c r="D21" s="3" t="n">
        <v>1.802</v>
      </c>
      <c r="E21" s="3" t="n">
        <v>2.546</v>
      </c>
      <c r="G21" s="3" t="n">
        <v>13.442</v>
      </c>
      <c r="H21" s="3" t="n">
        <v>1.236</v>
      </c>
      <c r="I21" s="3" t="n">
        <v>8.532999999999999</v>
      </c>
      <c r="K21" s="3" t="n">
        <v>14.809</v>
      </c>
      <c r="L21" s="3" t="n">
        <v>3.444</v>
      </c>
      <c r="M21" s="3" t="n">
        <v>1.557</v>
      </c>
    </row>
    <row r="22">
      <c r="A22" t="inlineStr">
        <is>
          <t>Bookmaker</t>
        </is>
      </c>
      <c r="C22" s="3" t="n">
        <v>0</v>
      </c>
      <c r="D22" s="3" t="n">
        <v>0</v>
      </c>
      <c r="E22" s="3" t="n">
        <v>0</v>
      </c>
      <c r="G22" s="3" t="n">
        <v>0</v>
      </c>
      <c r="H22" s="3" t="n">
        <v>0</v>
      </c>
      <c r="I22" s="3" t="n">
        <v>0</v>
      </c>
      <c r="K22" s="3" t="n">
        <v>0</v>
      </c>
      <c r="L22" s="3" t="n">
        <v>0</v>
      </c>
      <c r="M22" s="3" t="n">
        <v>0</v>
      </c>
    </row>
    <row r="23">
      <c r="A23" t="inlineStr">
        <is>
          <t>Expected payoff</t>
        </is>
      </c>
      <c r="C23" s="3">
        <f>C22/C21</f>
        <v/>
      </c>
      <c r="D23" s="3">
        <f>D22/D21</f>
        <v/>
      </c>
      <c r="E23" s="3">
        <f>E22/E21</f>
        <v/>
      </c>
      <c r="G23" s="3">
        <f>G22/G21</f>
        <v/>
      </c>
      <c r="H23" s="3">
        <f>H22/H21</f>
        <v/>
      </c>
      <c r="I23" s="3">
        <f>I22/I21</f>
        <v/>
      </c>
      <c r="K23" s="3">
        <f>K22/K21</f>
        <v/>
      </c>
      <c r="L23" s="3">
        <f>L22/L21</f>
        <v/>
      </c>
      <c r="M23" s="3">
        <f>M22/M21</f>
        <v/>
      </c>
    </row>
    <row r="24">
      <c r="A24" t="inlineStr">
        <is>
          <t>Bet</t>
        </is>
      </c>
      <c r="C24" s="3" t="n">
        <v>0</v>
      </c>
      <c r="D24" s="3" t="n">
        <v>0</v>
      </c>
      <c r="E24" s="3" t="n">
        <v>0</v>
      </c>
      <c r="G24" s="3" t="n">
        <v>0</v>
      </c>
      <c r="H24" s="3" t="n">
        <v>0</v>
      </c>
      <c r="I24" s="3" t="n">
        <v>0</v>
      </c>
      <c r="K24" s="3" t="n">
        <v>0</v>
      </c>
      <c r="L24" s="3" t="n">
        <v>0</v>
      </c>
      <c r="M24" s="3" t="n">
        <v>0</v>
      </c>
    </row>
    <row r="25">
      <c r="A25" t="inlineStr">
        <is>
          <t>Match result</t>
        </is>
      </c>
      <c r="C25" s="3" t="n">
        <v>0</v>
      </c>
      <c r="D25" s="3" t="n">
        <v>0</v>
      </c>
      <c r="E25" s="3" t="n">
        <v>0</v>
      </c>
      <c r="G25" s="3" t="n">
        <v>0</v>
      </c>
      <c r="H25" s="3" t="n">
        <v>0</v>
      </c>
      <c r="I25" s="3" t="n">
        <v>0</v>
      </c>
      <c r="K25" s="3" t="n">
        <v>0</v>
      </c>
      <c r="L25" s="3" t="n">
        <v>0</v>
      </c>
      <c r="M25" s="3" t="n">
        <v>0</v>
      </c>
    </row>
    <row r="26">
      <c r="A26" t="inlineStr">
        <is>
          <t>Income</t>
        </is>
      </c>
      <c r="C26" s="3">
        <f>C22*C25*C24-C24</f>
        <v/>
      </c>
      <c r="D26" s="3">
        <f>D22*D25*D24-D24</f>
        <v/>
      </c>
      <c r="E26" s="3">
        <f>E22*E25*E24-E24</f>
        <v/>
      </c>
      <c r="G26" s="3">
        <f>G22*G25*G24-G24</f>
        <v/>
      </c>
      <c r="H26" s="3">
        <f>H22*H25*H24-H24</f>
        <v/>
      </c>
      <c r="I26" s="3">
        <f>I22*I25*I24-I24</f>
        <v/>
      </c>
      <c r="K26" s="3">
        <f>K22*K25*K24-K24</f>
        <v/>
      </c>
      <c r="L26" s="3">
        <f>L22*L25*L24-L24</f>
        <v/>
      </c>
      <c r="M26" s="3">
        <f>M22*M25*M24-M24</f>
        <v/>
      </c>
    </row>
    <row r="28">
      <c r="A28" s="1" t="inlineStr">
        <is>
          <t>Serie A</t>
        </is>
      </c>
      <c r="C28" s="1" t="inlineStr">
        <is>
          <t>Win/Draw/Lose</t>
        </is>
      </c>
      <c r="E28" s="1">
        <f> 0+C35+D35+E35 + E19</f>
        <v/>
      </c>
      <c r="G28" s="1" t="inlineStr">
        <is>
          <t>1st half winner</t>
        </is>
      </c>
      <c r="I28" s="1">
        <f> 0+G35+H35+I35 + I19</f>
        <v/>
      </c>
      <c r="K28" s="1" t="inlineStr">
        <is>
          <t>2nd half winner</t>
        </is>
      </c>
      <c r="M28" s="1">
        <f> 0+K35+L35+M35 + M19</f>
        <v/>
      </c>
    </row>
    <row r="29">
      <c r="A29" t="inlineStr">
        <is>
          <t>AC Milan - Cagliari</t>
        </is>
      </c>
      <c r="C29" s="2" t="inlineStr">
        <is>
          <t>W1</t>
        </is>
      </c>
      <c r="D29" s="2" t="inlineStr">
        <is>
          <t>X</t>
        </is>
      </c>
      <c r="E29" s="2" t="inlineStr">
        <is>
          <t>W2</t>
        </is>
      </c>
      <c r="G29" s="2" t="inlineStr">
        <is>
          <t>1st half W1</t>
        </is>
      </c>
      <c r="H29" s="2" t="inlineStr">
        <is>
          <t>1st half X</t>
        </is>
      </c>
      <c r="I29" s="2" t="inlineStr">
        <is>
          <t>1st half W2</t>
        </is>
      </c>
      <c r="K29" s="2" t="inlineStr">
        <is>
          <t>2st half W1</t>
        </is>
      </c>
      <c r="L29" s="2" t="inlineStr">
        <is>
          <t>2nd half X</t>
        </is>
      </c>
      <c r="M29" s="2" t="inlineStr">
        <is>
          <t>2nd half W2</t>
        </is>
      </c>
    </row>
    <row r="30">
      <c r="A30" t="inlineStr">
        <is>
          <t>App</t>
        </is>
      </c>
      <c r="C30" s="3" t="n">
        <v>1.337</v>
      </c>
      <c r="D30" s="3" t="n">
        <v>6.848</v>
      </c>
      <c r="E30" s="3" t="n">
        <v>9.385999999999999</v>
      </c>
      <c r="G30" s="3" t="n">
        <v>18.694</v>
      </c>
      <c r="H30" s="3" t="n">
        <v>1.614</v>
      </c>
      <c r="I30" s="3" t="n">
        <v>3.058</v>
      </c>
      <c r="K30" s="3" t="n">
        <v>1.851</v>
      </c>
      <c r="L30" s="3" t="n">
        <v>2.778</v>
      </c>
      <c r="M30" s="3" t="n">
        <v>9.993</v>
      </c>
    </row>
    <row r="31">
      <c r="A31" t="inlineStr">
        <is>
          <t>Bookmaker</t>
        </is>
      </c>
      <c r="C31" s="3" t="n">
        <v>0</v>
      </c>
      <c r="D31" s="3" t="n">
        <v>0</v>
      </c>
      <c r="E31" s="3" t="n">
        <v>0</v>
      </c>
      <c r="G31" s="3" t="n">
        <v>0</v>
      </c>
      <c r="H31" s="3" t="n">
        <v>0</v>
      </c>
      <c r="I31" s="3" t="n">
        <v>0</v>
      </c>
      <c r="K31" s="3" t="n">
        <v>0</v>
      </c>
      <c r="L31" s="3" t="n">
        <v>0</v>
      </c>
      <c r="M31" s="3" t="n">
        <v>0</v>
      </c>
    </row>
    <row r="32">
      <c r="A32" t="inlineStr">
        <is>
          <t>Expected payoff</t>
        </is>
      </c>
      <c r="C32" s="3">
        <f>C31/C30</f>
        <v/>
      </c>
      <c r="D32" s="3">
        <f>D31/D30</f>
        <v/>
      </c>
      <c r="E32" s="3">
        <f>E31/E30</f>
        <v/>
      </c>
      <c r="G32" s="3">
        <f>G31/G30</f>
        <v/>
      </c>
      <c r="H32" s="3">
        <f>H31/H30</f>
        <v/>
      </c>
      <c r="I32" s="3">
        <f>I31/I30</f>
        <v/>
      </c>
      <c r="K32" s="3">
        <f>K31/K30</f>
        <v/>
      </c>
      <c r="L32" s="3">
        <f>L31/L30</f>
        <v/>
      </c>
      <c r="M32" s="3">
        <f>M31/M30</f>
        <v/>
      </c>
    </row>
    <row r="33">
      <c r="A33" t="inlineStr">
        <is>
          <t>Bet</t>
        </is>
      </c>
      <c r="C33" s="3" t="n">
        <v>0</v>
      </c>
      <c r="D33" s="3" t="n">
        <v>0</v>
      </c>
      <c r="E33" s="3" t="n">
        <v>0</v>
      </c>
      <c r="G33" s="3" t="n">
        <v>0</v>
      </c>
      <c r="H33" s="3" t="n">
        <v>0</v>
      </c>
      <c r="I33" s="3" t="n">
        <v>0</v>
      </c>
      <c r="K33" s="3" t="n">
        <v>0</v>
      </c>
      <c r="L33" s="3" t="n">
        <v>0</v>
      </c>
      <c r="M33" s="3" t="n">
        <v>0</v>
      </c>
    </row>
    <row r="34">
      <c r="A34" t="inlineStr">
        <is>
          <t>Match result</t>
        </is>
      </c>
      <c r="C34" s="3" t="n">
        <v>0</v>
      </c>
      <c r="D34" s="3" t="n">
        <v>0</v>
      </c>
      <c r="E34" s="3" t="n">
        <v>0</v>
      </c>
      <c r="G34" s="3" t="n">
        <v>0</v>
      </c>
      <c r="H34" s="3" t="n">
        <v>0</v>
      </c>
      <c r="I34" s="3" t="n">
        <v>0</v>
      </c>
      <c r="K34" s="3" t="n">
        <v>0</v>
      </c>
      <c r="L34" s="3" t="n">
        <v>0</v>
      </c>
      <c r="M34" s="3" t="n">
        <v>0</v>
      </c>
    </row>
    <row r="35">
      <c r="A35" t="inlineStr">
        <is>
          <t>Income</t>
        </is>
      </c>
      <c r="C35" s="3">
        <f>C31*C34*C33-C33</f>
        <v/>
      </c>
      <c r="D35" s="3">
        <f>D31*D34*D33-D33</f>
        <v/>
      </c>
      <c r="E35" s="3">
        <f>E31*E34*E33-E33</f>
        <v/>
      </c>
      <c r="G35" s="3">
        <f>G31*G34*G33-G33</f>
        <v/>
      </c>
      <c r="H35" s="3">
        <f>H31*H34*H33-H33</f>
        <v/>
      </c>
      <c r="I35" s="3">
        <f>I31*I34*I33-I33</f>
        <v/>
      </c>
      <c r="K35" s="3">
        <f>K31*K34*K33-K33</f>
        <v/>
      </c>
      <c r="L35" s="3">
        <f>L31*L34*L33-L33</f>
        <v/>
      </c>
      <c r="M35" s="3">
        <f>M31*M34*M33-M33</f>
        <v/>
      </c>
    </row>
    <row r="37">
      <c r="A37" s="1" t="inlineStr">
        <is>
          <t>Serie A</t>
        </is>
      </c>
      <c r="C37" s="1" t="inlineStr">
        <is>
          <t>Win/Draw/Lose</t>
        </is>
      </c>
      <c r="E37" s="1">
        <f> 0+C44+D44+E44 + E28</f>
        <v/>
      </c>
      <c r="G37" s="1" t="inlineStr">
        <is>
          <t>1st half winner</t>
        </is>
      </c>
      <c r="I37" s="1">
        <f> 0+G44+H44+I44 + I28</f>
        <v/>
      </c>
      <c r="K37" s="1" t="inlineStr">
        <is>
          <t>2nd half winner</t>
        </is>
      </c>
      <c r="M37" s="1">
        <f> 0+K44+L44+M44 + M28</f>
        <v/>
      </c>
    </row>
    <row r="38">
      <c r="A38" t="inlineStr">
        <is>
          <t>Bologna - AS Roma</t>
        </is>
      </c>
      <c r="C38" s="2" t="inlineStr">
        <is>
          <t>W1</t>
        </is>
      </c>
      <c r="D38" s="2" t="inlineStr">
        <is>
          <t>X</t>
        </is>
      </c>
      <c r="E38" s="2" t="inlineStr">
        <is>
          <t>W2</t>
        </is>
      </c>
      <c r="G38" s="2" t="inlineStr">
        <is>
          <t>1st half W1</t>
        </is>
      </c>
      <c r="H38" s="2" t="inlineStr">
        <is>
          <t>1st half X</t>
        </is>
      </c>
      <c r="I38" s="2" t="inlineStr">
        <is>
          <t>1st half W2</t>
        </is>
      </c>
      <c r="K38" s="2" t="inlineStr">
        <is>
          <t>2st half W1</t>
        </is>
      </c>
      <c r="L38" s="2" t="inlineStr">
        <is>
          <t>2nd half X</t>
        </is>
      </c>
      <c r="M38" s="2" t="inlineStr">
        <is>
          <t>2nd half W2</t>
        </is>
      </c>
    </row>
    <row r="39">
      <c r="A39" t="inlineStr">
        <is>
          <t>App</t>
        </is>
      </c>
      <c r="C39" s="3" t="n">
        <v>2.612</v>
      </c>
      <c r="D39" s="3" t="n">
        <v>2.169</v>
      </c>
      <c r="E39" s="3" t="n">
        <v>6.401</v>
      </c>
      <c r="G39" s="3" t="n">
        <v>5.632</v>
      </c>
      <c r="H39" s="3" t="n">
        <v>7.996</v>
      </c>
      <c r="I39" s="3" t="n">
        <v>1.433</v>
      </c>
      <c r="K39" s="3" t="n">
        <v>2.314</v>
      </c>
      <c r="L39" s="3" t="n">
        <v>2.938</v>
      </c>
      <c r="M39" s="3" t="n">
        <v>4.393</v>
      </c>
    </row>
    <row r="40">
      <c r="A40" t="inlineStr">
        <is>
          <t>Bookmaker</t>
        </is>
      </c>
      <c r="C40" s="3" t="n">
        <v>0</v>
      </c>
      <c r="D40" s="3" t="n">
        <v>0</v>
      </c>
      <c r="E40" s="3" t="n">
        <v>0</v>
      </c>
      <c r="G40" s="3" t="n">
        <v>0</v>
      </c>
      <c r="H40" s="3" t="n">
        <v>0</v>
      </c>
      <c r="I40" s="3" t="n">
        <v>0</v>
      </c>
      <c r="K40" s="3" t="n">
        <v>0</v>
      </c>
      <c r="L40" s="3" t="n">
        <v>0</v>
      </c>
      <c r="M40" s="3" t="n">
        <v>0</v>
      </c>
    </row>
    <row r="41">
      <c r="A41" t="inlineStr">
        <is>
          <t>Expected payoff</t>
        </is>
      </c>
      <c r="C41" s="3">
        <f>C40/C39</f>
        <v/>
      </c>
      <c r="D41" s="3">
        <f>D40/D39</f>
        <v/>
      </c>
      <c r="E41" s="3">
        <f>E40/E39</f>
        <v/>
      </c>
      <c r="G41" s="3">
        <f>G40/G39</f>
        <v/>
      </c>
      <c r="H41" s="3">
        <f>H40/H39</f>
        <v/>
      </c>
      <c r="I41" s="3">
        <f>I40/I39</f>
        <v/>
      </c>
      <c r="K41" s="3">
        <f>K40/K39</f>
        <v/>
      </c>
      <c r="L41" s="3">
        <f>L40/L39</f>
        <v/>
      </c>
      <c r="M41" s="3">
        <f>M40/M39</f>
        <v/>
      </c>
    </row>
    <row r="42">
      <c r="A42" t="inlineStr">
        <is>
          <t>Bet</t>
        </is>
      </c>
      <c r="C42" s="3" t="n">
        <v>0</v>
      </c>
      <c r="D42" s="3" t="n">
        <v>0</v>
      </c>
      <c r="E42" s="3" t="n">
        <v>0</v>
      </c>
      <c r="G42" s="3" t="n">
        <v>0</v>
      </c>
      <c r="H42" s="3" t="n">
        <v>0</v>
      </c>
      <c r="I42" s="3" t="n">
        <v>0</v>
      </c>
      <c r="K42" s="3" t="n">
        <v>0</v>
      </c>
      <c r="L42" s="3" t="n">
        <v>0</v>
      </c>
      <c r="M42" s="3" t="n">
        <v>0</v>
      </c>
    </row>
    <row r="43">
      <c r="A43" t="inlineStr">
        <is>
          <t>Match result</t>
        </is>
      </c>
      <c r="C43" s="3" t="n">
        <v>0</v>
      </c>
      <c r="D43" s="3" t="n">
        <v>0</v>
      </c>
      <c r="E43" s="3" t="n">
        <v>0</v>
      </c>
      <c r="G43" s="3" t="n">
        <v>0</v>
      </c>
      <c r="H43" s="3" t="n">
        <v>0</v>
      </c>
      <c r="I43" s="3" t="n">
        <v>0</v>
      </c>
      <c r="K43" s="3" t="n">
        <v>0</v>
      </c>
      <c r="L43" s="3" t="n">
        <v>0</v>
      </c>
      <c r="M43" s="3" t="n">
        <v>0</v>
      </c>
    </row>
    <row r="44">
      <c r="A44" t="inlineStr">
        <is>
          <t>Income</t>
        </is>
      </c>
      <c r="C44" s="3">
        <f>C40*C43*C42-C42</f>
        <v/>
      </c>
      <c r="D44" s="3">
        <f>D40*D43*D42-D42</f>
        <v/>
      </c>
      <c r="E44" s="3">
        <f>E40*E43*E42-E42</f>
        <v/>
      </c>
      <c r="G44" s="3">
        <f>G40*G43*G42-G42</f>
        <v/>
      </c>
      <c r="H44" s="3">
        <f>H40*H43*H42-H42</f>
        <v/>
      </c>
      <c r="I44" s="3">
        <f>I40*I43*I42-I42</f>
        <v/>
      </c>
      <c r="K44" s="3">
        <f>K40*K43*K42-K42</f>
        <v/>
      </c>
      <c r="L44" s="3">
        <f>L40*L43*L42-L42</f>
        <v/>
      </c>
      <c r="M44" s="3">
        <f>M40*M43*M42-M42</f>
        <v/>
      </c>
    </row>
    <row r="46">
      <c r="A46" s="1" t="inlineStr">
        <is>
          <t>Serie A</t>
        </is>
      </c>
      <c r="C46" s="1" t="inlineStr">
        <is>
          <t>Win/Draw/Lose</t>
        </is>
      </c>
      <c r="E46" s="1">
        <f> 0+C53+D53+E53 + E37</f>
        <v/>
      </c>
      <c r="G46" s="1" t="inlineStr">
        <is>
          <t>1st half winner</t>
        </is>
      </c>
      <c r="I46" s="1">
        <f> 0+G53+H53+I53 + I37</f>
        <v/>
      </c>
      <c r="K46" s="1" t="inlineStr">
        <is>
          <t>2nd half winner</t>
        </is>
      </c>
      <c r="M46" s="1">
        <f> 0+K53+L53+M53 + M37</f>
        <v/>
      </c>
    </row>
    <row r="47">
      <c r="A47" t="inlineStr">
        <is>
          <t>Napoli - Verona</t>
        </is>
      </c>
      <c r="C47" s="2" t="inlineStr">
        <is>
          <t>W1</t>
        </is>
      </c>
      <c r="D47" s="2" t="inlineStr">
        <is>
          <t>X</t>
        </is>
      </c>
      <c r="E47" s="2" t="inlineStr">
        <is>
          <t>W2</t>
        </is>
      </c>
      <c r="G47" s="2" t="inlineStr">
        <is>
          <t>1st half W1</t>
        </is>
      </c>
      <c r="H47" s="2" t="inlineStr">
        <is>
          <t>1st half X</t>
        </is>
      </c>
      <c r="I47" s="2" t="inlineStr">
        <is>
          <t>1st half W2</t>
        </is>
      </c>
      <c r="K47" s="2" t="inlineStr">
        <is>
          <t>2st half W1</t>
        </is>
      </c>
      <c r="L47" s="2" t="inlineStr">
        <is>
          <t>2nd half X</t>
        </is>
      </c>
      <c r="M47" s="2" t="inlineStr">
        <is>
          <t>2nd half W2</t>
        </is>
      </c>
    </row>
    <row r="48">
      <c r="A48" t="inlineStr">
        <is>
          <t>App</t>
        </is>
      </c>
      <c r="C48" s="3" t="n">
        <v>1.21</v>
      </c>
      <c r="D48" s="3" t="n">
        <v>7.569</v>
      </c>
      <c r="E48" s="3" t="n">
        <v>24.101</v>
      </c>
      <c r="G48" s="3" t="n">
        <v>1.421</v>
      </c>
      <c r="H48" s="3" t="n">
        <v>4.125</v>
      </c>
      <c r="I48" s="3" t="n">
        <v>18.528</v>
      </c>
      <c r="K48" s="3" t="n">
        <v>1.216</v>
      </c>
      <c r="L48" s="3" t="n">
        <v>12.167</v>
      </c>
      <c r="M48" s="3" t="n">
        <v>10.419</v>
      </c>
    </row>
    <row r="49">
      <c r="A49" t="inlineStr">
        <is>
          <t>Bookmaker</t>
        </is>
      </c>
      <c r="C49" s="3" t="n">
        <v>0</v>
      </c>
      <c r="D49" s="3" t="n">
        <v>0</v>
      </c>
      <c r="E49" s="3" t="n">
        <v>0</v>
      </c>
      <c r="G49" s="3" t="n">
        <v>0</v>
      </c>
      <c r="H49" s="3" t="n">
        <v>0</v>
      </c>
      <c r="I49" s="3" t="n">
        <v>0</v>
      </c>
      <c r="K49" s="3" t="n">
        <v>0</v>
      </c>
      <c r="L49" s="3" t="n">
        <v>0</v>
      </c>
      <c r="M49" s="3" t="n">
        <v>0</v>
      </c>
    </row>
    <row r="50">
      <c r="A50" t="inlineStr">
        <is>
          <t>Expected payoff</t>
        </is>
      </c>
      <c r="C50" s="3">
        <f>C49/C48</f>
        <v/>
      </c>
      <c r="D50" s="3">
        <f>D49/D48</f>
        <v/>
      </c>
      <c r="E50" s="3">
        <f>E49/E48</f>
        <v/>
      </c>
      <c r="G50" s="3">
        <f>G49/G48</f>
        <v/>
      </c>
      <c r="H50" s="3">
        <f>H49/H48</f>
        <v/>
      </c>
      <c r="I50" s="3">
        <f>I49/I48</f>
        <v/>
      </c>
      <c r="K50" s="3">
        <f>K49/K48</f>
        <v/>
      </c>
      <c r="L50" s="3">
        <f>L49/L48</f>
        <v/>
      </c>
      <c r="M50" s="3">
        <f>M49/M48</f>
        <v/>
      </c>
    </row>
    <row r="51">
      <c r="A51" t="inlineStr">
        <is>
          <t>Bet</t>
        </is>
      </c>
      <c r="C51" s="3" t="n">
        <v>0</v>
      </c>
      <c r="D51" s="3" t="n">
        <v>0</v>
      </c>
      <c r="E51" s="3" t="n">
        <v>0</v>
      </c>
      <c r="G51" s="3" t="n">
        <v>0</v>
      </c>
      <c r="H51" s="3" t="n">
        <v>0</v>
      </c>
      <c r="I51" s="3" t="n">
        <v>0</v>
      </c>
      <c r="K51" s="3" t="n">
        <v>0</v>
      </c>
      <c r="L51" s="3" t="n">
        <v>0</v>
      </c>
      <c r="M51" s="3" t="n">
        <v>0</v>
      </c>
    </row>
    <row r="52">
      <c r="A52" t="inlineStr">
        <is>
          <t>Match result</t>
        </is>
      </c>
      <c r="C52" s="3" t="n">
        <v>0</v>
      </c>
      <c r="D52" s="3" t="n">
        <v>0</v>
      </c>
      <c r="E52" s="3" t="n">
        <v>0</v>
      </c>
      <c r="G52" s="3" t="n">
        <v>0</v>
      </c>
      <c r="H52" s="3" t="n">
        <v>0</v>
      </c>
      <c r="I52" s="3" t="n">
        <v>0</v>
      </c>
      <c r="K52" s="3" t="n">
        <v>0</v>
      </c>
      <c r="L52" s="3" t="n">
        <v>0</v>
      </c>
      <c r="M52" s="3" t="n">
        <v>0</v>
      </c>
    </row>
    <row r="53">
      <c r="A53" t="inlineStr">
        <is>
          <t>Income</t>
        </is>
      </c>
      <c r="C53" s="3">
        <f>C49*C52*C51-C51</f>
        <v/>
      </c>
      <c r="D53" s="3">
        <f>D49*D52*D51-D51</f>
        <v/>
      </c>
      <c r="E53" s="3">
        <f>E49*E52*E51-E51</f>
        <v/>
      </c>
      <c r="G53" s="3">
        <f>G49*G52*G51-G51</f>
        <v/>
      </c>
      <c r="H53" s="3">
        <f>H49*H52*H51-H51</f>
        <v/>
      </c>
      <c r="I53" s="3">
        <f>I49*I52*I51-I51</f>
        <v/>
      </c>
      <c r="K53" s="3">
        <f>K49*K52*K51-K51</f>
        <v/>
      </c>
      <c r="L53" s="3">
        <f>L49*L52*L51-L51</f>
        <v/>
      </c>
      <c r="M53" s="3">
        <f>M49*M52*M51-M51</f>
        <v/>
      </c>
    </row>
    <row r="55">
      <c r="A55" s="1" t="inlineStr">
        <is>
          <t>Serie A</t>
        </is>
      </c>
      <c r="C55" s="1" t="inlineStr">
        <is>
          <t>Win/Draw/Lose</t>
        </is>
      </c>
      <c r="E55" s="1">
        <f> 0+C62+D62+E62 + E46</f>
        <v/>
      </c>
      <c r="G55" s="1" t="inlineStr">
        <is>
          <t>1st half winner</t>
        </is>
      </c>
      <c r="I55" s="1">
        <f> 0+G62+H62+I62 + I46</f>
        <v/>
      </c>
      <c r="K55" s="1" t="inlineStr">
        <is>
          <t>2nd half winner</t>
        </is>
      </c>
      <c r="M55" s="1">
        <f> 0+K62+L62+M62 + M46</f>
        <v/>
      </c>
    </row>
    <row r="56">
      <c r="A56" t="inlineStr">
        <is>
          <t>Monza - Fiorentina</t>
        </is>
      </c>
      <c r="C56" s="2" t="inlineStr">
        <is>
          <t>W1</t>
        </is>
      </c>
      <c r="D56" s="2" t="inlineStr">
        <is>
          <t>X</t>
        </is>
      </c>
      <c r="E56" s="2" t="inlineStr">
        <is>
          <t>W2</t>
        </is>
      </c>
      <c r="G56" s="2" t="inlineStr">
        <is>
          <t>1st half W1</t>
        </is>
      </c>
      <c r="H56" s="2" t="inlineStr">
        <is>
          <t>1st half X</t>
        </is>
      </c>
      <c r="I56" s="2" t="inlineStr">
        <is>
          <t>1st half W2</t>
        </is>
      </c>
      <c r="K56" s="2" t="inlineStr">
        <is>
          <t>2st half W1</t>
        </is>
      </c>
      <c r="L56" s="2" t="inlineStr">
        <is>
          <t>2nd half X</t>
        </is>
      </c>
      <c r="M56" s="2" t="inlineStr">
        <is>
          <t>2nd half W2</t>
        </is>
      </c>
    </row>
    <row r="57">
      <c r="A57" t="inlineStr">
        <is>
          <t>App</t>
        </is>
      </c>
      <c r="C57" s="3" t="n">
        <v>11.393</v>
      </c>
      <c r="D57" s="3" t="n">
        <v>16.908</v>
      </c>
      <c r="E57" s="3" t="n">
        <v>1.172</v>
      </c>
      <c r="G57" s="3" t="n">
        <v>8.401999999999999</v>
      </c>
      <c r="H57" s="3" t="n">
        <v>2.565</v>
      </c>
      <c r="I57" s="3" t="n">
        <v>2.036</v>
      </c>
      <c r="K57" s="3" t="n">
        <v>17.416</v>
      </c>
      <c r="L57" s="3" t="n">
        <v>2.144</v>
      </c>
      <c r="M57" s="3" t="n">
        <v>2.099</v>
      </c>
    </row>
    <row r="58">
      <c r="A58" t="inlineStr">
        <is>
          <t>Bookmaker</t>
        </is>
      </c>
      <c r="C58" s="3" t="n">
        <v>0</v>
      </c>
      <c r="D58" s="3" t="n">
        <v>0</v>
      </c>
      <c r="E58" s="3" t="n">
        <v>0</v>
      </c>
      <c r="G58" s="3" t="n">
        <v>0</v>
      </c>
      <c r="H58" s="3" t="n">
        <v>0</v>
      </c>
      <c r="I58" s="3" t="n">
        <v>0</v>
      </c>
      <c r="K58" s="3" t="n">
        <v>0</v>
      </c>
      <c r="L58" s="3" t="n">
        <v>0</v>
      </c>
      <c r="M58" s="3" t="n">
        <v>0</v>
      </c>
    </row>
    <row r="59">
      <c r="A59" t="inlineStr">
        <is>
          <t>Expected payoff</t>
        </is>
      </c>
      <c r="C59" s="3">
        <f>C58/C57</f>
        <v/>
      </c>
      <c r="D59" s="3">
        <f>D58/D57</f>
        <v/>
      </c>
      <c r="E59" s="3">
        <f>E58/E57</f>
        <v/>
      </c>
      <c r="G59" s="3">
        <f>G58/G57</f>
        <v/>
      </c>
      <c r="H59" s="3">
        <f>H58/H57</f>
        <v/>
      </c>
      <c r="I59" s="3">
        <f>I58/I57</f>
        <v/>
      </c>
      <c r="K59" s="3">
        <f>K58/K57</f>
        <v/>
      </c>
      <c r="L59" s="3">
        <f>L58/L57</f>
        <v/>
      </c>
      <c r="M59" s="3">
        <f>M58/M57</f>
        <v/>
      </c>
    </row>
    <row r="60">
      <c r="A60" t="inlineStr">
        <is>
          <t>Bet</t>
        </is>
      </c>
      <c r="C60" s="3" t="n">
        <v>0</v>
      </c>
      <c r="D60" s="3" t="n">
        <v>0</v>
      </c>
      <c r="E60" s="3" t="n">
        <v>0</v>
      </c>
      <c r="G60" s="3" t="n">
        <v>0</v>
      </c>
      <c r="H60" s="3" t="n">
        <v>0</v>
      </c>
      <c r="I60" s="3" t="n">
        <v>0</v>
      </c>
      <c r="K60" s="3" t="n">
        <v>0</v>
      </c>
      <c r="L60" s="3" t="n">
        <v>0</v>
      </c>
      <c r="M60" s="3" t="n">
        <v>0</v>
      </c>
    </row>
    <row r="61">
      <c r="A61" t="inlineStr">
        <is>
          <t>Match result</t>
        </is>
      </c>
      <c r="C61" s="3" t="n">
        <v>0</v>
      </c>
      <c r="D61" s="3" t="n">
        <v>0</v>
      </c>
      <c r="E61" s="3" t="n">
        <v>0</v>
      </c>
      <c r="G61" s="3" t="n">
        <v>0</v>
      </c>
      <c r="H61" s="3" t="n">
        <v>0</v>
      </c>
      <c r="I61" s="3" t="n">
        <v>0</v>
      </c>
      <c r="K61" s="3" t="n">
        <v>0</v>
      </c>
      <c r="L61" s="3" t="n">
        <v>0</v>
      </c>
      <c r="M61" s="3" t="n">
        <v>0</v>
      </c>
    </row>
    <row r="62">
      <c r="A62" t="inlineStr">
        <is>
          <t>Income</t>
        </is>
      </c>
      <c r="C62" s="3">
        <f>C58*C61*C60-C60</f>
        <v/>
      </c>
      <c r="D62" s="3">
        <f>D58*D61*D60-D60</f>
        <v/>
      </c>
      <c r="E62" s="3">
        <f>E58*E61*E60-E60</f>
        <v/>
      </c>
      <c r="G62" s="3">
        <f>G58*G61*G60-G60</f>
        <v/>
      </c>
      <c r="H62" s="3">
        <f>H58*H61*H60-H60</f>
        <v/>
      </c>
      <c r="I62" s="3">
        <f>I58*I61*I60-I60</f>
        <v/>
      </c>
      <c r="K62" s="3">
        <f>K58*K61*K60-K60</f>
        <v/>
      </c>
      <c r="L62" s="3">
        <f>L58*L61*L60-L60</f>
        <v/>
      </c>
      <c r="M62" s="3">
        <f>M58*M61*M60-M60</f>
        <v/>
      </c>
    </row>
    <row r="64">
      <c r="A64" s="1" t="inlineStr">
        <is>
          <t>Premier League</t>
        </is>
      </c>
      <c r="C64" s="1" t="inlineStr">
        <is>
          <t>Win/Draw/Lose</t>
        </is>
      </c>
      <c r="E64" s="1">
        <f> 0+C71+D71+E71 + E55</f>
        <v/>
      </c>
      <c r="G64" s="1" t="inlineStr">
        <is>
          <t>1st half winner</t>
        </is>
      </c>
      <c r="I64" s="1">
        <f> 0+G71+H71+I71 + I55</f>
        <v/>
      </c>
      <c r="K64" s="1" t="inlineStr">
        <is>
          <t>2nd half winner</t>
        </is>
      </c>
      <c r="M64" s="1">
        <f> 0+K71+L71+M71 + M55</f>
        <v/>
      </c>
    </row>
    <row r="65">
      <c r="A65" t="inlineStr">
        <is>
          <t>Newcastle - Bournemouth</t>
        </is>
      </c>
      <c r="C65" s="2" t="inlineStr">
        <is>
          <t>W1</t>
        </is>
      </c>
      <c r="D65" s="2" t="inlineStr">
        <is>
          <t>X</t>
        </is>
      </c>
      <c r="E65" s="2" t="inlineStr">
        <is>
          <t>W2</t>
        </is>
      </c>
      <c r="G65" s="2" t="inlineStr">
        <is>
          <t>1st half W1</t>
        </is>
      </c>
      <c r="H65" s="2" t="inlineStr">
        <is>
          <t>1st half X</t>
        </is>
      </c>
      <c r="I65" s="2" t="inlineStr">
        <is>
          <t>1st half W2</t>
        </is>
      </c>
      <c r="K65" s="2" t="inlineStr">
        <is>
          <t>2st half W1</t>
        </is>
      </c>
      <c r="L65" s="2" t="inlineStr">
        <is>
          <t>2nd half X</t>
        </is>
      </c>
      <c r="M65" s="2" t="inlineStr">
        <is>
          <t>2nd half W2</t>
        </is>
      </c>
    </row>
    <row r="66">
      <c r="A66" t="inlineStr">
        <is>
          <t>App</t>
        </is>
      </c>
      <c r="C66" s="3" t="n">
        <v>1.331</v>
      </c>
      <c r="D66" s="3" t="n">
        <v>7.981</v>
      </c>
      <c r="E66" s="3" t="n">
        <v>8.097</v>
      </c>
      <c r="G66" s="3" t="n">
        <v>1.2</v>
      </c>
      <c r="H66" s="3" t="n">
        <v>8.773999999999999</v>
      </c>
      <c r="I66" s="3" t="n">
        <v>18.839</v>
      </c>
      <c r="K66" s="3" t="n">
        <v>1.891</v>
      </c>
      <c r="L66" s="3" t="n">
        <v>2.93</v>
      </c>
      <c r="M66" s="3" t="n">
        <v>7.686</v>
      </c>
    </row>
    <row r="67">
      <c r="A67" t="inlineStr">
        <is>
          <t>Bookmaker</t>
        </is>
      </c>
      <c r="C67" s="3" t="n">
        <v>0</v>
      </c>
      <c r="D67" s="3" t="n">
        <v>0</v>
      </c>
      <c r="E67" s="3" t="n">
        <v>0</v>
      </c>
      <c r="G67" s="3" t="n">
        <v>0</v>
      </c>
      <c r="H67" s="3" t="n">
        <v>0</v>
      </c>
      <c r="I67" s="3" t="n">
        <v>0</v>
      </c>
      <c r="K67" s="3" t="n">
        <v>0</v>
      </c>
      <c r="L67" s="3" t="n">
        <v>0</v>
      </c>
      <c r="M67" s="3" t="n">
        <v>0</v>
      </c>
    </row>
    <row r="68">
      <c r="A68" t="inlineStr">
        <is>
          <t>Expected payoff</t>
        </is>
      </c>
      <c r="C68" s="3">
        <f>C67/C66</f>
        <v/>
      </c>
      <c r="D68" s="3">
        <f>D67/D66</f>
        <v/>
      </c>
      <c r="E68" s="3">
        <f>E67/E66</f>
        <v/>
      </c>
      <c r="G68" s="3">
        <f>G67/G66</f>
        <v/>
      </c>
      <c r="H68" s="3">
        <f>H67/H66</f>
        <v/>
      </c>
      <c r="I68" s="3">
        <f>I67/I66</f>
        <v/>
      </c>
      <c r="K68" s="3">
        <f>K67/K66</f>
        <v/>
      </c>
      <c r="L68" s="3">
        <f>L67/L66</f>
        <v/>
      </c>
      <c r="M68" s="3">
        <f>M67/M66</f>
        <v/>
      </c>
    </row>
    <row r="69">
      <c r="A69" t="inlineStr">
        <is>
          <t>Bet</t>
        </is>
      </c>
      <c r="C69" s="3" t="n">
        <v>0</v>
      </c>
      <c r="D69" s="3" t="n">
        <v>0</v>
      </c>
      <c r="E69" s="3" t="n">
        <v>0</v>
      </c>
      <c r="G69" s="3" t="n">
        <v>0</v>
      </c>
      <c r="H69" s="3" t="n">
        <v>0</v>
      </c>
      <c r="I69" s="3" t="n">
        <v>0</v>
      </c>
      <c r="K69" s="3" t="n">
        <v>0</v>
      </c>
      <c r="L69" s="3" t="n">
        <v>0</v>
      </c>
      <c r="M69" s="3" t="n">
        <v>0</v>
      </c>
    </row>
    <row r="70">
      <c r="A70" t="inlineStr">
        <is>
          <t>Match result</t>
        </is>
      </c>
      <c r="C70" s="3" t="n">
        <v>0</v>
      </c>
      <c r="D70" s="3" t="n">
        <v>0</v>
      </c>
      <c r="E70" s="3" t="n">
        <v>0</v>
      </c>
      <c r="G70" s="3" t="n">
        <v>0</v>
      </c>
      <c r="H70" s="3" t="n">
        <v>0</v>
      </c>
      <c r="I70" s="3" t="n">
        <v>0</v>
      </c>
      <c r="K70" s="3" t="n">
        <v>0</v>
      </c>
      <c r="L70" s="3" t="n">
        <v>0</v>
      </c>
      <c r="M70" s="3" t="n">
        <v>0</v>
      </c>
    </row>
    <row r="71">
      <c r="A71" t="inlineStr">
        <is>
          <t>Income</t>
        </is>
      </c>
      <c r="C71" s="3">
        <f>C67*C70*C69-C69</f>
        <v/>
      </c>
      <c r="D71" s="3">
        <f>D67*D70*D69-D69</f>
        <v/>
      </c>
      <c r="E71" s="3">
        <f>E67*E70*E69-E69</f>
        <v/>
      </c>
      <c r="G71" s="3">
        <f>G67*G70*G69-G69</f>
        <v/>
      </c>
      <c r="H71" s="3">
        <f>H67*H70*H69-H69</f>
        <v/>
      </c>
      <c r="I71" s="3">
        <f>I67*I70*I69-I69</f>
        <v/>
      </c>
      <c r="K71" s="3">
        <f>K67*K70*K69-K69</f>
        <v/>
      </c>
      <c r="L71" s="3">
        <f>L67*L70*L69-L69</f>
        <v/>
      </c>
      <c r="M71" s="3">
        <f>M67*M70*M69-M69</f>
        <v/>
      </c>
    </row>
    <row r="73">
      <c r="A73" s="1" t="inlineStr">
        <is>
          <t>Premier League</t>
        </is>
      </c>
      <c r="C73" s="1" t="inlineStr">
        <is>
          <t>Win/Draw/Lose</t>
        </is>
      </c>
      <c r="E73" s="1">
        <f> 0+C80+D80+E80 + E64</f>
        <v/>
      </c>
      <c r="G73" s="1" t="inlineStr">
        <is>
          <t>1st half winner</t>
        </is>
      </c>
      <c r="I73" s="1">
        <f> 0+G80+H80+I80 + I64</f>
        <v/>
      </c>
      <c r="K73" s="1" t="inlineStr">
        <is>
          <t>2nd half winner</t>
        </is>
      </c>
      <c r="M73" s="1">
        <f> 0+K80+L80+M80 + M64</f>
        <v/>
      </c>
    </row>
    <row r="74">
      <c r="A74" t="inlineStr">
        <is>
          <t>Brentford - Liverpool</t>
        </is>
      </c>
      <c r="C74" s="2" t="inlineStr">
        <is>
          <t>W1</t>
        </is>
      </c>
      <c r="D74" s="2" t="inlineStr">
        <is>
          <t>X</t>
        </is>
      </c>
      <c r="E74" s="2" t="inlineStr">
        <is>
          <t>W2</t>
        </is>
      </c>
      <c r="G74" s="2" t="inlineStr">
        <is>
          <t>1st half W1</t>
        </is>
      </c>
      <c r="H74" s="2" t="inlineStr">
        <is>
          <t>1st half X</t>
        </is>
      </c>
      <c r="I74" s="2" t="inlineStr">
        <is>
          <t>1st half W2</t>
        </is>
      </c>
      <c r="K74" s="2" t="inlineStr">
        <is>
          <t>2st half W1</t>
        </is>
      </c>
      <c r="L74" s="2" t="inlineStr">
        <is>
          <t>2nd half X</t>
        </is>
      </c>
      <c r="M74" s="2" t="inlineStr">
        <is>
          <t>2nd half W2</t>
        </is>
      </c>
    </row>
    <row r="75">
      <c r="A75" t="inlineStr">
        <is>
          <t>App</t>
        </is>
      </c>
      <c r="C75" s="3" t="n">
        <v>12.475</v>
      </c>
      <c r="D75" s="3" t="n">
        <v>7.558</v>
      </c>
      <c r="E75" s="3" t="n">
        <v>1.269</v>
      </c>
      <c r="G75" s="3" t="n">
        <v>77.91800000000001</v>
      </c>
      <c r="H75" s="3" t="n">
        <v>1.303</v>
      </c>
      <c r="I75" s="3" t="n">
        <v>4.551</v>
      </c>
      <c r="K75" s="3" t="n">
        <v>4.943</v>
      </c>
      <c r="L75" s="3" t="n">
        <v>16.77</v>
      </c>
      <c r="M75" s="3" t="n">
        <v>1.354</v>
      </c>
    </row>
    <row r="76">
      <c r="A76" t="inlineStr">
        <is>
          <t>Bookmaker</t>
        </is>
      </c>
      <c r="C76" s="3" t="n">
        <v>0</v>
      </c>
      <c r="D76" s="3" t="n">
        <v>0</v>
      </c>
      <c r="E76" s="3" t="n">
        <v>0</v>
      </c>
      <c r="G76" s="3" t="n">
        <v>0</v>
      </c>
      <c r="H76" s="3" t="n">
        <v>0</v>
      </c>
      <c r="I76" s="3" t="n">
        <v>0</v>
      </c>
      <c r="K76" s="3" t="n">
        <v>0</v>
      </c>
      <c r="L76" s="3" t="n">
        <v>0</v>
      </c>
      <c r="M76" s="3" t="n">
        <v>0</v>
      </c>
    </row>
    <row r="77">
      <c r="A77" t="inlineStr">
        <is>
          <t>Expected payoff</t>
        </is>
      </c>
      <c r="C77" s="3">
        <f>C76/C75</f>
        <v/>
      </c>
      <c r="D77" s="3">
        <f>D76/D75</f>
        <v/>
      </c>
      <c r="E77" s="3">
        <f>E76/E75</f>
        <v/>
      </c>
      <c r="G77" s="3">
        <f>G76/G75</f>
        <v/>
      </c>
      <c r="H77" s="3">
        <f>H76/H75</f>
        <v/>
      </c>
      <c r="I77" s="3">
        <f>I76/I75</f>
        <v/>
      </c>
      <c r="K77" s="3">
        <f>K76/K75</f>
        <v/>
      </c>
      <c r="L77" s="3">
        <f>L76/L75</f>
        <v/>
      </c>
      <c r="M77" s="3">
        <f>M76/M75</f>
        <v/>
      </c>
    </row>
    <row r="78">
      <c r="A78" t="inlineStr">
        <is>
          <t>Bet</t>
        </is>
      </c>
      <c r="C78" s="3" t="n">
        <v>0</v>
      </c>
      <c r="D78" s="3" t="n">
        <v>0</v>
      </c>
      <c r="E78" s="3" t="n">
        <v>0</v>
      </c>
      <c r="G78" s="3" t="n">
        <v>0</v>
      </c>
      <c r="H78" s="3" t="n">
        <v>0</v>
      </c>
      <c r="I78" s="3" t="n">
        <v>0</v>
      </c>
      <c r="K78" s="3" t="n">
        <v>0</v>
      </c>
      <c r="L78" s="3" t="n">
        <v>0</v>
      </c>
      <c r="M78" s="3" t="n">
        <v>0</v>
      </c>
    </row>
    <row r="79">
      <c r="A79" t="inlineStr">
        <is>
          <t>Match result</t>
        </is>
      </c>
      <c r="C79" s="3" t="n">
        <v>0</v>
      </c>
      <c r="D79" s="3" t="n">
        <v>0</v>
      </c>
      <c r="E79" s="3" t="n">
        <v>0</v>
      </c>
      <c r="G79" s="3" t="n">
        <v>0</v>
      </c>
      <c r="H79" s="3" t="n">
        <v>0</v>
      </c>
      <c r="I79" s="3" t="n">
        <v>0</v>
      </c>
      <c r="K79" s="3" t="n">
        <v>0</v>
      </c>
      <c r="L79" s="3" t="n">
        <v>0</v>
      </c>
      <c r="M79" s="3" t="n">
        <v>0</v>
      </c>
    </row>
    <row r="80">
      <c r="A80" t="inlineStr">
        <is>
          <t>Income</t>
        </is>
      </c>
      <c r="C80" s="3">
        <f>C76*C79*C78-C78</f>
        <v/>
      </c>
      <c r="D80" s="3">
        <f>D76*D79*D78-D78</f>
        <v/>
      </c>
      <c r="E80" s="3">
        <f>E76*E79*E78-E78</f>
        <v/>
      </c>
      <c r="G80" s="3">
        <f>G76*G79*G78-G78</f>
        <v/>
      </c>
      <c r="H80" s="3">
        <f>H76*H79*H78-H78</f>
        <v/>
      </c>
      <c r="I80" s="3">
        <f>I76*I79*I78-I78</f>
        <v/>
      </c>
      <c r="K80" s="3">
        <f>K76*K79*K78-K78</f>
        <v/>
      </c>
      <c r="L80" s="3">
        <f>L76*L79*L78-L78</f>
        <v/>
      </c>
      <c r="M80" s="3">
        <f>M76*M79*M78-M78</f>
        <v/>
      </c>
    </row>
    <row r="82">
      <c r="A82" s="1" t="inlineStr">
        <is>
          <t>Premier League</t>
        </is>
      </c>
      <c r="C82" s="1" t="inlineStr">
        <is>
          <t>Win/Draw/Lose</t>
        </is>
      </c>
      <c r="E82" s="1">
        <f> 0+C89+D89+E89 + E73</f>
        <v/>
      </c>
      <c r="G82" s="1" t="inlineStr">
        <is>
          <t>1st half winner</t>
        </is>
      </c>
      <c r="I82" s="1">
        <f> 0+G89+H89+I89 + I73</f>
        <v/>
      </c>
      <c r="K82" s="1" t="inlineStr">
        <is>
          <t>2nd half winner</t>
        </is>
      </c>
      <c r="M82" s="1">
        <f> 0+K89+L89+M89 + M73</f>
        <v/>
      </c>
    </row>
    <row r="83">
      <c r="A83" t="inlineStr">
        <is>
          <t>West Ham - Crystal Palace</t>
        </is>
      </c>
      <c r="C83" s="2" t="inlineStr">
        <is>
          <t>W1</t>
        </is>
      </c>
      <c r="D83" s="2" t="inlineStr">
        <is>
          <t>X</t>
        </is>
      </c>
      <c r="E83" s="2" t="inlineStr">
        <is>
          <t>W2</t>
        </is>
      </c>
      <c r="G83" s="2" t="inlineStr">
        <is>
          <t>1st half W1</t>
        </is>
      </c>
      <c r="H83" s="2" t="inlineStr">
        <is>
          <t>1st half X</t>
        </is>
      </c>
      <c r="I83" s="2" t="inlineStr">
        <is>
          <t>1st half W2</t>
        </is>
      </c>
      <c r="K83" s="2" t="inlineStr">
        <is>
          <t>2st half W1</t>
        </is>
      </c>
      <c r="L83" s="2" t="inlineStr">
        <is>
          <t>2nd half X</t>
        </is>
      </c>
      <c r="M83" s="2" t="inlineStr">
        <is>
          <t>2nd half W2</t>
        </is>
      </c>
    </row>
    <row r="84">
      <c r="A84" t="inlineStr">
        <is>
          <t>App</t>
        </is>
      </c>
      <c r="C84" s="3" t="n">
        <v>2.474</v>
      </c>
      <c r="D84" s="3" t="n">
        <v>6.988</v>
      </c>
      <c r="E84" s="3" t="n">
        <v>2.208</v>
      </c>
      <c r="G84" s="3" t="n">
        <v>1.935</v>
      </c>
      <c r="H84" s="3" t="n">
        <v>9.234</v>
      </c>
      <c r="I84" s="3" t="n">
        <v>2.666</v>
      </c>
      <c r="K84" s="3" t="n">
        <v>2.322</v>
      </c>
      <c r="L84" s="3" t="n">
        <v>3.851</v>
      </c>
      <c r="M84" s="3" t="n">
        <v>3.228</v>
      </c>
    </row>
    <row r="85">
      <c r="A85" t="inlineStr">
        <is>
          <t>Bookmaker</t>
        </is>
      </c>
      <c r="C85" s="3" t="n">
        <v>0</v>
      </c>
      <c r="D85" s="3" t="n">
        <v>0</v>
      </c>
      <c r="E85" s="3" t="n">
        <v>0</v>
      </c>
      <c r="G85" s="3" t="n">
        <v>0</v>
      </c>
      <c r="H85" s="3" t="n">
        <v>0</v>
      </c>
      <c r="I85" s="3" t="n">
        <v>0</v>
      </c>
      <c r="K85" s="3" t="n">
        <v>0</v>
      </c>
      <c r="L85" s="3" t="n">
        <v>0</v>
      </c>
      <c r="M85" s="3" t="n">
        <v>0</v>
      </c>
    </row>
    <row r="86">
      <c r="A86" t="inlineStr">
        <is>
          <t>Expected payoff</t>
        </is>
      </c>
      <c r="C86" s="3">
        <f>C85/C84</f>
        <v/>
      </c>
      <c r="D86" s="3">
        <f>D85/D84</f>
        <v/>
      </c>
      <c r="E86" s="3">
        <f>E85/E84</f>
        <v/>
      </c>
      <c r="G86" s="3">
        <f>G85/G84</f>
        <v/>
      </c>
      <c r="H86" s="3">
        <f>H85/H84</f>
        <v/>
      </c>
      <c r="I86" s="3">
        <f>I85/I84</f>
        <v/>
      </c>
      <c r="K86" s="3">
        <f>K85/K84</f>
        <v/>
      </c>
      <c r="L86" s="3">
        <f>L85/L84</f>
        <v/>
      </c>
      <c r="M86" s="3">
        <f>M85/M84</f>
        <v/>
      </c>
    </row>
    <row r="87">
      <c r="A87" t="inlineStr">
        <is>
          <t>Bet</t>
        </is>
      </c>
      <c r="C87" s="3" t="n">
        <v>0</v>
      </c>
      <c r="D87" s="3" t="n">
        <v>0</v>
      </c>
      <c r="E87" s="3" t="n">
        <v>0</v>
      </c>
      <c r="G87" s="3" t="n">
        <v>0</v>
      </c>
      <c r="H87" s="3" t="n">
        <v>0</v>
      </c>
      <c r="I87" s="3" t="n">
        <v>0</v>
      </c>
      <c r="K87" s="3" t="n">
        <v>0</v>
      </c>
      <c r="L87" s="3" t="n">
        <v>0</v>
      </c>
      <c r="M87" s="3" t="n">
        <v>0</v>
      </c>
    </row>
    <row r="88">
      <c r="A88" t="inlineStr">
        <is>
          <t>Match result</t>
        </is>
      </c>
      <c r="C88" s="3" t="n">
        <v>0</v>
      </c>
      <c r="D88" s="3" t="n">
        <v>0</v>
      </c>
      <c r="E88" s="3" t="n">
        <v>0</v>
      </c>
      <c r="G88" s="3" t="n">
        <v>0</v>
      </c>
      <c r="H88" s="3" t="n">
        <v>0</v>
      </c>
      <c r="I88" s="3" t="n">
        <v>0</v>
      </c>
      <c r="K88" s="3" t="n">
        <v>0</v>
      </c>
      <c r="L88" s="3" t="n">
        <v>0</v>
      </c>
      <c r="M88" s="3" t="n">
        <v>0</v>
      </c>
    </row>
    <row r="89">
      <c r="A89" t="inlineStr">
        <is>
          <t>Income</t>
        </is>
      </c>
      <c r="C89" s="3">
        <f>C85*C88*C87-C87</f>
        <v/>
      </c>
      <c r="D89" s="3">
        <f>D85*D88*D87-D87</f>
        <v/>
      </c>
      <c r="E89" s="3">
        <f>E85*E88*E87-E87</f>
        <v/>
      </c>
      <c r="G89" s="3">
        <f>G85*G88*G87-G87</f>
        <v/>
      </c>
      <c r="H89" s="3">
        <f>H85*H88*H87-H87</f>
        <v/>
      </c>
      <c r="I89" s="3">
        <f>I85*I88*I87-I87</f>
        <v/>
      </c>
      <c r="K89" s="3">
        <f>K85*K88*K87-K87</f>
        <v/>
      </c>
      <c r="L89" s="3">
        <f>L85*L88*L87-L87</f>
        <v/>
      </c>
      <c r="M89" s="3">
        <f>M85*M88*M87-M87</f>
        <v/>
      </c>
    </row>
    <row r="91">
      <c r="A91" s="1" t="inlineStr">
        <is>
          <t>Premier League</t>
        </is>
      </c>
      <c r="C91" s="1" t="inlineStr">
        <is>
          <t>Win/Draw/Lose</t>
        </is>
      </c>
      <c r="E91" s="1">
        <f> 0+C98+D98+E98 + E82</f>
        <v/>
      </c>
      <c r="G91" s="1" t="inlineStr">
        <is>
          <t>1st half winner</t>
        </is>
      </c>
      <c r="I91" s="1">
        <f> 0+G98+H98+I98 + I82</f>
        <v/>
      </c>
      <c r="K91" s="1" t="inlineStr">
        <is>
          <t>2nd half winner</t>
        </is>
      </c>
      <c r="M91" s="1">
        <f> 0+K98+L98+M98 + M82</f>
        <v/>
      </c>
    </row>
    <row r="92">
      <c r="A92" t="inlineStr">
        <is>
          <t>Arsenal - Aston Villa</t>
        </is>
      </c>
      <c r="C92" s="2" t="inlineStr">
        <is>
          <t>W1</t>
        </is>
      </c>
      <c r="D92" s="2" t="inlineStr">
        <is>
          <t>X</t>
        </is>
      </c>
      <c r="E92" s="2" t="inlineStr">
        <is>
          <t>W2</t>
        </is>
      </c>
      <c r="G92" s="2" t="inlineStr">
        <is>
          <t>1st half W1</t>
        </is>
      </c>
      <c r="H92" s="2" t="inlineStr">
        <is>
          <t>1st half X</t>
        </is>
      </c>
      <c r="I92" s="2" t="inlineStr">
        <is>
          <t>1st half W2</t>
        </is>
      </c>
      <c r="K92" s="2" t="inlineStr">
        <is>
          <t>2st half W1</t>
        </is>
      </c>
      <c r="L92" s="2" t="inlineStr">
        <is>
          <t>2nd half X</t>
        </is>
      </c>
      <c r="M92" s="2" t="inlineStr">
        <is>
          <t>2nd half W2</t>
        </is>
      </c>
    </row>
    <row r="93">
      <c r="A93" t="inlineStr">
        <is>
          <t>App</t>
        </is>
      </c>
      <c r="C93" s="3" t="n">
        <v>1.136</v>
      </c>
      <c r="D93" s="3" t="n">
        <v>11.594</v>
      </c>
      <c r="E93" s="3" t="n">
        <v>29.839</v>
      </c>
      <c r="G93" s="3" t="n">
        <v>2.831</v>
      </c>
      <c r="H93" s="3" t="n">
        <v>1.694</v>
      </c>
      <c r="I93" s="3" t="n">
        <v>17.587</v>
      </c>
      <c r="K93" s="3" t="n">
        <v>1.312</v>
      </c>
      <c r="L93" s="3" t="n">
        <v>6.835</v>
      </c>
      <c r="M93" s="3" t="n">
        <v>10.919</v>
      </c>
    </row>
    <row r="94">
      <c r="A94" t="inlineStr">
        <is>
          <t>Bookmaker</t>
        </is>
      </c>
      <c r="C94" s="3" t="n">
        <v>0</v>
      </c>
      <c r="D94" s="3" t="n">
        <v>0</v>
      </c>
      <c r="E94" s="3" t="n">
        <v>0</v>
      </c>
      <c r="G94" s="3" t="n">
        <v>0</v>
      </c>
      <c r="H94" s="3" t="n">
        <v>0</v>
      </c>
      <c r="I94" s="3" t="n">
        <v>0</v>
      </c>
      <c r="K94" s="3" t="n">
        <v>0</v>
      </c>
      <c r="L94" s="3" t="n">
        <v>0</v>
      </c>
      <c r="M94" s="3" t="n">
        <v>0</v>
      </c>
    </row>
    <row r="95">
      <c r="A95" t="inlineStr">
        <is>
          <t>Expected payoff</t>
        </is>
      </c>
      <c r="C95" s="3">
        <f>C94/C93</f>
        <v/>
      </c>
      <c r="D95" s="3">
        <f>D94/D93</f>
        <v/>
      </c>
      <c r="E95" s="3">
        <f>E94/E93</f>
        <v/>
      </c>
      <c r="G95" s="3">
        <f>G94/G93</f>
        <v/>
      </c>
      <c r="H95" s="3">
        <f>H94/H93</f>
        <v/>
      </c>
      <c r="I95" s="3">
        <f>I94/I93</f>
        <v/>
      </c>
      <c r="K95" s="3">
        <f>K94/K93</f>
        <v/>
      </c>
      <c r="L95" s="3">
        <f>L94/L93</f>
        <v/>
      </c>
      <c r="M95" s="3">
        <f>M94/M93</f>
        <v/>
      </c>
    </row>
    <row r="96">
      <c r="A96" t="inlineStr">
        <is>
          <t>Bet</t>
        </is>
      </c>
      <c r="C96" s="3" t="n">
        <v>0</v>
      </c>
      <c r="D96" s="3" t="n">
        <v>0</v>
      </c>
      <c r="E96" s="3" t="n">
        <v>0</v>
      </c>
      <c r="G96" s="3" t="n">
        <v>0</v>
      </c>
      <c r="H96" s="3" t="n">
        <v>0</v>
      </c>
      <c r="I96" s="3" t="n">
        <v>0</v>
      </c>
      <c r="K96" s="3" t="n">
        <v>0</v>
      </c>
      <c r="L96" s="3" t="n">
        <v>0</v>
      </c>
      <c r="M96" s="3" t="n">
        <v>0</v>
      </c>
    </row>
    <row r="97">
      <c r="A97" t="inlineStr">
        <is>
          <t>Match result</t>
        </is>
      </c>
      <c r="C97" s="3" t="n">
        <v>0</v>
      </c>
      <c r="D97" s="3" t="n">
        <v>0</v>
      </c>
      <c r="E97" s="3" t="n">
        <v>0</v>
      </c>
      <c r="G97" s="3" t="n">
        <v>0</v>
      </c>
      <c r="H97" s="3" t="n">
        <v>0</v>
      </c>
      <c r="I97" s="3" t="n">
        <v>0</v>
      </c>
      <c r="K97" s="3" t="n">
        <v>0</v>
      </c>
      <c r="L97" s="3" t="n">
        <v>0</v>
      </c>
      <c r="M97" s="3" t="n">
        <v>0</v>
      </c>
    </row>
    <row r="98">
      <c r="A98" t="inlineStr">
        <is>
          <t>Income</t>
        </is>
      </c>
      <c r="C98" s="3">
        <f>C94*C97*C96-C96</f>
        <v/>
      </c>
      <c r="D98" s="3">
        <f>D94*D97*D96-D96</f>
        <v/>
      </c>
      <c r="E98" s="3">
        <f>E94*E97*E96-E96</f>
        <v/>
      </c>
      <c r="G98" s="3">
        <f>G94*G97*G96-G96</f>
        <v/>
      </c>
      <c r="H98" s="3">
        <f>H94*H97*H96-H96</f>
        <v/>
      </c>
      <c r="I98" s="3">
        <f>I94*I97*I96-I96</f>
        <v/>
      </c>
      <c r="K98" s="3">
        <f>K94*K97*K96-K96</f>
        <v/>
      </c>
      <c r="L98" s="3">
        <f>L94*L97*L96-L96</f>
        <v/>
      </c>
      <c r="M98" s="3">
        <f>M94*M97*M96-M96</f>
        <v/>
      </c>
    </row>
    <row r="100">
      <c r="A100" s="1" t="inlineStr">
        <is>
          <t>Premier League</t>
        </is>
      </c>
      <c r="C100" s="1" t="inlineStr">
        <is>
          <t>Win/Draw/Lose</t>
        </is>
      </c>
      <c r="E100" s="1">
        <f> 0+C107+D107+E107 + E91</f>
        <v/>
      </c>
      <c r="G100" s="1" t="inlineStr">
        <is>
          <t>1st half winner</t>
        </is>
      </c>
      <c r="I100" s="1">
        <f> 0+G107+H107+I107 + I91</f>
        <v/>
      </c>
      <c r="K100" s="1" t="inlineStr">
        <is>
          <t>2nd half winner</t>
        </is>
      </c>
      <c r="M100" s="1">
        <f> 0+K107+L107+M107 + M91</f>
        <v/>
      </c>
    </row>
    <row r="101">
      <c r="A101" t="inlineStr">
        <is>
          <t>Manchester United - Brighton</t>
        </is>
      </c>
      <c r="C101" s="2" t="inlineStr">
        <is>
          <t>W1</t>
        </is>
      </c>
      <c r="D101" s="2" t="inlineStr">
        <is>
          <t>X</t>
        </is>
      </c>
      <c r="E101" s="2" t="inlineStr">
        <is>
          <t>W2</t>
        </is>
      </c>
      <c r="G101" s="2" t="inlineStr">
        <is>
          <t>1st half W1</t>
        </is>
      </c>
      <c r="H101" s="2" t="inlineStr">
        <is>
          <t>1st half X</t>
        </is>
      </c>
      <c r="I101" s="2" t="inlineStr">
        <is>
          <t>1st half W2</t>
        </is>
      </c>
      <c r="K101" s="2" t="inlineStr">
        <is>
          <t>2st half W1</t>
        </is>
      </c>
      <c r="L101" s="2" t="inlineStr">
        <is>
          <t>2nd half X</t>
        </is>
      </c>
      <c r="M101" s="2" t="inlineStr">
        <is>
          <t>2nd half W2</t>
        </is>
      </c>
    </row>
    <row r="102">
      <c r="A102" t="inlineStr">
        <is>
          <t>App</t>
        </is>
      </c>
      <c r="C102" s="3" t="n">
        <v>1.799</v>
      </c>
      <c r="D102" s="3" t="n">
        <v>5.836</v>
      </c>
      <c r="E102" s="3" t="n">
        <v>3.662</v>
      </c>
      <c r="G102" s="3" t="n">
        <v>14.49</v>
      </c>
      <c r="H102" s="3" t="n">
        <v>2.837</v>
      </c>
      <c r="I102" s="3" t="n">
        <v>1.728</v>
      </c>
      <c r="K102" s="3" t="n">
        <v>2.509</v>
      </c>
      <c r="L102" s="3" t="n">
        <v>2.123</v>
      </c>
      <c r="M102" s="3" t="n">
        <v>7.657</v>
      </c>
    </row>
    <row r="103">
      <c r="A103" t="inlineStr">
        <is>
          <t>Bookmaker</t>
        </is>
      </c>
      <c r="C103" s="3" t="n">
        <v>0</v>
      </c>
      <c r="D103" s="3" t="n">
        <v>0</v>
      </c>
      <c r="E103" s="3" t="n">
        <v>0</v>
      </c>
      <c r="G103" s="3" t="n">
        <v>0</v>
      </c>
      <c r="H103" s="3" t="n">
        <v>0</v>
      </c>
      <c r="I103" s="3" t="n">
        <v>0</v>
      </c>
      <c r="K103" s="3" t="n">
        <v>0</v>
      </c>
      <c r="L103" s="3" t="n">
        <v>0</v>
      </c>
      <c r="M103" s="3" t="n">
        <v>0</v>
      </c>
    </row>
    <row r="104">
      <c r="A104" t="inlineStr">
        <is>
          <t>Expected payoff</t>
        </is>
      </c>
      <c r="C104" s="3">
        <f>C103/C102</f>
        <v/>
      </c>
      <c r="D104" s="3">
        <f>D103/D102</f>
        <v/>
      </c>
      <c r="E104" s="3">
        <f>E103/E102</f>
        <v/>
      </c>
      <c r="G104" s="3">
        <f>G103/G102</f>
        <v/>
      </c>
      <c r="H104" s="3">
        <f>H103/H102</f>
        <v/>
      </c>
      <c r="I104" s="3">
        <f>I103/I102</f>
        <v/>
      </c>
      <c r="K104" s="3">
        <f>K103/K102</f>
        <v/>
      </c>
      <c r="L104" s="3">
        <f>L103/L102</f>
        <v/>
      </c>
      <c r="M104" s="3">
        <f>M103/M102</f>
        <v/>
      </c>
    </row>
    <row r="105">
      <c r="A105" t="inlineStr">
        <is>
          <t>Bet</t>
        </is>
      </c>
      <c r="C105" s="3" t="n">
        <v>0</v>
      </c>
      <c r="D105" s="3" t="n">
        <v>0</v>
      </c>
      <c r="E105" s="3" t="n">
        <v>0</v>
      </c>
      <c r="G105" s="3" t="n">
        <v>0</v>
      </c>
      <c r="H105" s="3" t="n">
        <v>0</v>
      </c>
      <c r="I105" s="3" t="n">
        <v>0</v>
      </c>
      <c r="K105" s="3" t="n">
        <v>0</v>
      </c>
      <c r="L105" s="3" t="n">
        <v>0</v>
      </c>
      <c r="M105" s="3" t="n">
        <v>0</v>
      </c>
    </row>
    <row r="106">
      <c r="A106" t="inlineStr">
        <is>
          <t>Match result</t>
        </is>
      </c>
      <c r="C106" s="3" t="n">
        <v>0</v>
      </c>
      <c r="D106" s="3" t="n">
        <v>0</v>
      </c>
      <c r="E106" s="3" t="n">
        <v>0</v>
      </c>
      <c r="G106" s="3" t="n">
        <v>0</v>
      </c>
      <c r="H106" s="3" t="n">
        <v>0</v>
      </c>
      <c r="I106" s="3" t="n">
        <v>0</v>
      </c>
      <c r="K106" s="3" t="n">
        <v>0</v>
      </c>
      <c r="L106" s="3" t="n">
        <v>0</v>
      </c>
      <c r="M106" s="3" t="n">
        <v>0</v>
      </c>
    </row>
    <row r="107">
      <c r="A107" t="inlineStr">
        <is>
          <t>Income</t>
        </is>
      </c>
      <c r="C107" s="3">
        <f>C103*C106*C105-C105</f>
        <v/>
      </c>
      <c r="D107" s="3">
        <f>D103*D106*D105-D105</f>
        <v/>
      </c>
      <c r="E107" s="3">
        <f>E103*E106*E105-E105</f>
        <v/>
      </c>
      <c r="G107" s="3">
        <f>G103*G106*G105-G105</f>
        <v/>
      </c>
      <c r="H107" s="3">
        <f>H103*H106*H105-H105</f>
        <v/>
      </c>
      <c r="I107" s="3">
        <f>I103*I106*I105-I105</f>
        <v/>
      </c>
      <c r="K107" s="3">
        <f>K103*K106*K105-K105</f>
        <v/>
      </c>
      <c r="L107" s="3">
        <f>L103*L106*L105-L105</f>
        <v/>
      </c>
      <c r="M107" s="3">
        <f>M103*M106*M105-M105</f>
        <v/>
      </c>
    </row>
    <row r="109">
      <c r="A109" s="1" t="inlineStr">
        <is>
          <t>Premier League</t>
        </is>
      </c>
      <c r="C109" s="1" t="inlineStr">
        <is>
          <t>Win/Draw/Lose</t>
        </is>
      </c>
      <c r="E109" s="1">
        <f> 0+C116+D116+E116 + E100</f>
        <v/>
      </c>
      <c r="G109" s="1" t="inlineStr">
        <is>
          <t>1st half winner</t>
        </is>
      </c>
      <c r="I109" s="1">
        <f> 0+G116+H116+I116 + I100</f>
        <v/>
      </c>
      <c r="K109" s="1" t="inlineStr">
        <is>
          <t>2nd half winner</t>
        </is>
      </c>
      <c r="M109" s="1">
        <f> 0+K116+L116+M116 + M100</f>
        <v/>
      </c>
    </row>
    <row r="110">
      <c r="A110" t="inlineStr">
        <is>
          <t>Chelsea - Wolves</t>
        </is>
      </c>
      <c r="C110" s="2" t="inlineStr">
        <is>
          <t>W1</t>
        </is>
      </c>
      <c r="D110" s="2" t="inlineStr">
        <is>
          <t>X</t>
        </is>
      </c>
      <c r="E110" s="2" t="inlineStr">
        <is>
          <t>W2</t>
        </is>
      </c>
      <c r="G110" s="2" t="inlineStr">
        <is>
          <t>1st half W1</t>
        </is>
      </c>
      <c r="H110" s="2" t="inlineStr">
        <is>
          <t>1st half X</t>
        </is>
      </c>
      <c r="I110" s="2" t="inlineStr">
        <is>
          <t>1st half W2</t>
        </is>
      </c>
      <c r="K110" s="2" t="inlineStr">
        <is>
          <t>2st half W1</t>
        </is>
      </c>
      <c r="L110" s="2" t="inlineStr">
        <is>
          <t>2nd half X</t>
        </is>
      </c>
      <c r="M110" s="2" t="inlineStr">
        <is>
          <t>2nd half W2</t>
        </is>
      </c>
    </row>
    <row r="111">
      <c r="A111" t="inlineStr">
        <is>
          <t>App</t>
        </is>
      </c>
      <c r="C111" s="3" t="n">
        <v>1.408</v>
      </c>
      <c r="D111" s="3" t="n">
        <v>4.519</v>
      </c>
      <c r="E111" s="3" t="n">
        <v>14.567</v>
      </c>
      <c r="G111" s="3" t="n">
        <v>1.627</v>
      </c>
      <c r="H111" s="3" t="n">
        <v>2.961</v>
      </c>
      <c r="I111" s="3" t="n">
        <v>20.857</v>
      </c>
      <c r="K111" s="3" t="n">
        <v>4.713</v>
      </c>
      <c r="L111" s="3" t="n">
        <v>6.822</v>
      </c>
      <c r="M111" s="3" t="n">
        <v>1.559</v>
      </c>
    </row>
    <row r="112">
      <c r="A112" t="inlineStr">
        <is>
          <t>Bookmaker</t>
        </is>
      </c>
      <c r="C112" s="3" t="n">
        <v>0</v>
      </c>
      <c r="D112" s="3" t="n">
        <v>0</v>
      </c>
      <c r="E112" s="3" t="n">
        <v>0</v>
      </c>
      <c r="G112" s="3" t="n">
        <v>0</v>
      </c>
      <c r="H112" s="3" t="n">
        <v>0</v>
      </c>
      <c r="I112" s="3" t="n">
        <v>0</v>
      </c>
      <c r="K112" s="3" t="n">
        <v>0</v>
      </c>
      <c r="L112" s="3" t="n">
        <v>0</v>
      </c>
      <c r="M112" s="3" t="n">
        <v>0</v>
      </c>
    </row>
    <row r="113">
      <c r="A113" t="inlineStr">
        <is>
          <t>Expected payoff</t>
        </is>
      </c>
      <c r="C113" s="3">
        <f>C112/C111</f>
        <v/>
      </c>
      <c r="D113" s="3">
        <f>D112/D111</f>
        <v/>
      </c>
      <c r="E113" s="3">
        <f>E112/E111</f>
        <v/>
      </c>
      <c r="G113" s="3">
        <f>G112/G111</f>
        <v/>
      </c>
      <c r="H113" s="3">
        <f>H112/H111</f>
        <v/>
      </c>
      <c r="I113" s="3">
        <f>I112/I111</f>
        <v/>
      </c>
      <c r="K113" s="3">
        <f>K112/K111</f>
        <v/>
      </c>
      <c r="L113" s="3">
        <f>L112/L111</f>
        <v/>
      </c>
      <c r="M113" s="3">
        <f>M112/M111</f>
        <v/>
      </c>
    </row>
    <row r="114">
      <c r="A114" t="inlineStr">
        <is>
          <t>Bet</t>
        </is>
      </c>
      <c r="C114" s="3" t="n">
        <v>0</v>
      </c>
      <c r="D114" s="3" t="n">
        <v>0</v>
      </c>
      <c r="E114" s="3" t="n">
        <v>0</v>
      </c>
      <c r="G114" s="3" t="n">
        <v>0</v>
      </c>
      <c r="H114" s="3" t="n">
        <v>0</v>
      </c>
      <c r="I114" s="3" t="n">
        <v>0</v>
      </c>
      <c r="K114" s="3" t="n">
        <v>0</v>
      </c>
      <c r="L114" s="3" t="n">
        <v>0</v>
      </c>
      <c r="M114" s="3" t="n">
        <v>0</v>
      </c>
    </row>
    <row r="115">
      <c r="A115" t="inlineStr">
        <is>
          <t>Match result</t>
        </is>
      </c>
      <c r="C115" s="3" t="n">
        <v>0</v>
      </c>
      <c r="D115" s="3" t="n">
        <v>0</v>
      </c>
      <c r="E115" s="3" t="n">
        <v>0</v>
      </c>
      <c r="G115" s="3" t="n">
        <v>0</v>
      </c>
      <c r="H115" s="3" t="n">
        <v>0</v>
      </c>
      <c r="I115" s="3" t="n">
        <v>0</v>
      </c>
      <c r="K115" s="3" t="n">
        <v>0</v>
      </c>
      <c r="L115" s="3" t="n">
        <v>0</v>
      </c>
      <c r="M115" s="3" t="n">
        <v>0</v>
      </c>
    </row>
    <row r="116">
      <c r="A116" t="inlineStr">
        <is>
          <t>Income</t>
        </is>
      </c>
      <c r="C116" s="3">
        <f>C112*C115*C114-C114</f>
        <v/>
      </c>
      <c r="D116" s="3">
        <f>D112*D115*D114-D114</f>
        <v/>
      </c>
      <c r="E116" s="3">
        <f>E112*E115*E114-E114</f>
        <v/>
      </c>
      <c r="G116" s="3">
        <f>G112*G115*G114-G114</f>
        <v/>
      </c>
      <c r="H116" s="3">
        <f>H112*H115*H114-H114</f>
        <v/>
      </c>
      <c r="I116" s="3">
        <f>I112*I115*I114-I114</f>
        <v/>
      </c>
      <c r="K116" s="3">
        <f>K112*K115*K114-K114</f>
        <v/>
      </c>
      <c r="L116" s="3">
        <f>L112*L115*L114-L114</f>
        <v/>
      </c>
      <c r="M116" s="3">
        <f>M112*M115*M114-M114</f>
        <v/>
      </c>
    </row>
    <row r="118">
      <c r="A118" s="1" t="inlineStr">
        <is>
          <t>La Liga</t>
        </is>
      </c>
      <c r="C118" s="1" t="inlineStr">
        <is>
          <t>Win/Draw/Lose</t>
        </is>
      </c>
      <c r="E118" s="1">
        <f> 0+C125+D125+E125 + E109</f>
        <v/>
      </c>
      <c r="G118" s="1" t="inlineStr">
        <is>
          <t>1st half winner</t>
        </is>
      </c>
      <c r="I118" s="1">
        <f> 0+G125+H125+I125 + I109</f>
        <v/>
      </c>
      <c r="K118" s="1" t="inlineStr">
        <is>
          <t>2nd half winner</t>
        </is>
      </c>
      <c r="M118" s="1">
        <f> 0+K125+L125+M125 + M109</f>
        <v/>
      </c>
    </row>
    <row r="119">
      <c r="A119" t="inlineStr">
        <is>
          <t>Girona - Sevilla</t>
        </is>
      </c>
      <c r="C119" s="2" t="inlineStr">
        <is>
          <t>W1</t>
        </is>
      </c>
      <c r="D119" s="2" t="inlineStr">
        <is>
          <t>X</t>
        </is>
      </c>
      <c r="E119" s="2" t="inlineStr">
        <is>
          <t>W2</t>
        </is>
      </c>
      <c r="G119" s="2" t="inlineStr">
        <is>
          <t>1st half W1</t>
        </is>
      </c>
      <c r="H119" s="2" t="inlineStr">
        <is>
          <t>1st half X</t>
        </is>
      </c>
      <c r="I119" s="2" t="inlineStr">
        <is>
          <t>1st half W2</t>
        </is>
      </c>
      <c r="K119" s="2" t="inlineStr">
        <is>
          <t>2st half W1</t>
        </is>
      </c>
      <c r="L119" s="2" t="inlineStr">
        <is>
          <t>2nd half X</t>
        </is>
      </c>
      <c r="M119" s="2" t="inlineStr">
        <is>
          <t>2nd half W2</t>
        </is>
      </c>
    </row>
    <row r="120">
      <c r="A120" t="inlineStr">
        <is>
          <t>App</t>
        </is>
      </c>
      <c r="C120" s="3" t="n">
        <v>18.836</v>
      </c>
      <c r="D120" s="3" t="n">
        <v>5.479</v>
      </c>
      <c r="E120" s="3" t="n">
        <v>1.308</v>
      </c>
      <c r="G120" s="3" t="n">
        <v>1.719</v>
      </c>
      <c r="H120" s="3" t="n">
        <v>8.750999999999999</v>
      </c>
      <c r="I120" s="3" t="n">
        <v>3.287</v>
      </c>
      <c r="K120" s="3" t="n">
        <v>1.765</v>
      </c>
      <c r="L120" s="3" t="n">
        <v>4.113</v>
      </c>
      <c r="M120" s="3" t="n">
        <v>5.247</v>
      </c>
    </row>
    <row r="121">
      <c r="A121" t="inlineStr">
        <is>
          <t>Bookmaker</t>
        </is>
      </c>
      <c r="C121" s="3" t="n">
        <v>0</v>
      </c>
      <c r="D121" s="3" t="n">
        <v>0</v>
      </c>
      <c r="E121" s="3" t="n">
        <v>0</v>
      </c>
      <c r="G121" s="3" t="n">
        <v>0</v>
      </c>
      <c r="H121" s="3" t="n">
        <v>0</v>
      </c>
      <c r="I121" s="3" t="n">
        <v>0</v>
      </c>
      <c r="K121" s="3" t="n">
        <v>0</v>
      </c>
      <c r="L121" s="3" t="n">
        <v>0</v>
      </c>
      <c r="M121" s="3" t="n">
        <v>0</v>
      </c>
    </row>
    <row r="122">
      <c r="A122" t="inlineStr">
        <is>
          <t>Expected payoff</t>
        </is>
      </c>
      <c r="C122" s="3">
        <f>C121/C120</f>
        <v/>
      </c>
      <c r="D122" s="3">
        <f>D121/D120</f>
        <v/>
      </c>
      <c r="E122" s="3">
        <f>E121/E120</f>
        <v/>
      </c>
      <c r="G122" s="3">
        <f>G121/G120</f>
        <v/>
      </c>
      <c r="H122" s="3">
        <f>H121/H120</f>
        <v/>
      </c>
      <c r="I122" s="3">
        <f>I121/I120</f>
        <v/>
      </c>
      <c r="K122" s="3">
        <f>K121/K120</f>
        <v/>
      </c>
      <c r="L122" s="3">
        <f>L121/L120</f>
        <v/>
      </c>
      <c r="M122" s="3">
        <f>M121/M120</f>
        <v/>
      </c>
    </row>
    <row r="123">
      <c r="A123" t="inlineStr">
        <is>
          <t>Bet</t>
        </is>
      </c>
      <c r="C123" s="3" t="n">
        <v>0</v>
      </c>
      <c r="D123" s="3" t="n">
        <v>0</v>
      </c>
      <c r="E123" s="3" t="n">
        <v>0</v>
      </c>
      <c r="G123" s="3" t="n">
        <v>0</v>
      </c>
      <c r="H123" s="3" t="n">
        <v>0</v>
      </c>
      <c r="I123" s="3" t="n">
        <v>0</v>
      </c>
      <c r="K123" s="3" t="n">
        <v>0</v>
      </c>
      <c r="L123" s="3" t="n">
        <v>0</v>
      </c>
      <c r="M123" s="3" t="n">
        <v>0</v>
      </c>
    </row>
    <row r="124">
      <c r="A124" t="inlineStr">
        <is>
          <t>Match result</t>
        </is>
      </c>
      <c r="C124" s="3" t="n">
        <v>0</v>
      </c>
      <c r="D124" s="3" t="n">
        <v>0</v>
      </c>
      <c r="E124" s="3" t="n">
        <v>0</v>
      </c>
      <c r="G124" s="3" t="n">
        <v>0</v>
      </c>
      <c r="H124" s="3" t="n">
        <v>0</v>
      </c>
      <c r="I124" s="3" t="n">
        <v>0</v>
      </c>
      <c r="K124" s="3" t="n">
        <v>0</v>
      </c>
      <c r="L124" s="3" t="n">
        <v>0</v>
      </c>
      <c r="M124" s="3" t="n">
        <v>0</v>
      </c>
    </row>
    <row r="125">
      <c r="A125" t="inlineStr">
        <is>
          <t>Income</t>
        </is>
      </c>
      <c r="C125" s="3">
        <f>C121*C124*C123-C123</f>
        <v/>
      </c>
      <c r="D125" s="3">
        <f>D121*D124*D123-D123</f>
        <v/>
      </c>
      <c r="E125" s="3">
        <f>E121*E124*E123-E123</f>
        <v/>
      </c>
      <c r="G125" s="3">
        <f>G121*G124*G123-G123</f>
        <v/>
      </c>
      <c r="H125" s="3">
        <f>H121*H124*H123-H123</f>
        <v/>
      </c>
      <c r="I125" s="3">
        <f>I121*I124*I123-I123</f>
        <v/>
      </c>
      <c r="K125" s="3">
        <f>K121*K124*K123-K123</f>
        <v/>
      </c>
      <c r="L125" s="3">
        <f>L121*L124*L123-L123</f>
        <v/>
      </c>
      <c r="M125" s="3">
        <f>M121*M124*M123-M123</f>
        <v/>
      </c>
    </row>
    <row r="127">
      <c r="A127" s="1" t="inlineStr">
        <is>
          <t>La Liga</t>
        </is>
      </c>
      <c r="C127" s="1" t="inlineStr">
        <is>
          <t>Win/Draw/Lose</t>
        </is>
      </c>
      <c r="E127" s="1">
        <f> 0+C134+D134+E134 + E118</f>
        <v/>
      </c>
      <c r="G127" s="1" t="inlineStr">
        <is>
          <t>1st half winner</t>
        </is>
      </c>
      <c r="I127" s="1">
        <f> 0+G134+H134+I134 + I118</f>
        <v/>
      </c>
      <c r="K127" s="1" t="inlineStr">
        <is>
          <t>2nd half winner</t>
        </is>
      </c>
      <c r="M127" s="1">
        <f> 0+K134+L134+M134 + M118</f>
        <v/>
      </c>
    </row>
    <row r="128">
      <c r="A128" t="inlineStr">
        <is>
          <t>Real Betis - Alaves</t>
        </is>
      </c>
      <c r="C128" s="2" t="inlineStr">
        <is>
          <t>W1</t>
        </is>
      </c>
      <c r="D128" s="2" t="inlineStr">
        <is>
          <t>X</t>
        </is>
      </c>
      <c r="E128" s="2" t="inlineStr">
        <is>
          <t>W2</t>
        </is>
      </c>
      <c r="G128" s="2" t="inlineStr">
        <is>
          <t>1st half W1</t>
        </is>
      </c>
      <c r="H128" s="2" t="inlineStr">
        <is>
          <t>1st half X</t>
        </is>
      </c>
      <c r="I128" s="2" t="inlineStr">
        <is>
          <t>1st half W2</t>
        </is>
      </c>
      <c r="K128" s="2" t="inlineStr">
        <is>
          <t>2st half W1</t>
        </is>
      </c>
      <c r="L128" s="2" t="inlineStr">
        <is>
          <t>2nd half X</t>
        </is>
      </c>
      <c r="M128" s="2" t="inlineStr">
        <is>
          <t>2nd half W2</t>
        </is>
      </c>
    </row>
    <row r="129">
      <c r="A129" t="inlineStr">
        <is>
          <t>App</t>
        </is>
      </c>
      <c r="C129" s="3" t="n">
        <v>3.545</v>
      </c>
      <c r="D129" s="3" t="n">
        <v>1.434</v>
      </c>
      <c r="E129" s="3" t="n">
        <v>47.99</v>
      </c>
      <c r="G129" s="3" t="n">
        <v>3.874</v>
      </c>
      <c r="H129" s="3" t="n">
        <v>2.133</v>
      </c>
      <c r="I129" s="3" t="n">
        <v>3.66</v>
      </c>
      <c r="K129" s="3" t="n">
        <v>1.143</v>
      </c>
      <c r="L129" s="3" t="n">
        <v>14.485</v>
      </c>
      <c r="M129" s="3" t="n">
        <v>17.767</v>
      </c>
    </row>
    <row r="130">
      <c r="A130" t="inlineStr">
        <is>
          <t>Bookmaker</t>
        </is>
      </c>
      <c r="C130" s="3" t="n">
        <v>0</v>
      </c>
      <c r="D130" s="3" t="n">
        <v>0</v>
      </c>
      <c r="E130" s="3" t="n">
        <v>0</v>
      </c>
      <c r="G130" s="3" t="n">
        <v>0</v>
      </c>
      <c r="H130" s="3" t="n">
        <v>0</v>
      </c>
      <c r="I130" s="3" t="n">
        <v>0</v>
      </c>
      <c r="K130" s="3" t="n">
        <v>0</v>
      </c>
      <c r="L130" s="3" t="n">
        <v>0</v>
      </c>
      <c r="M130" s="3" t="n">
        <v>0</v>
      </c>
    </row>
    <row r="131">
      <c r="A131" t="inlineStr">
        <is>
          <t>Expected payoff</t>
        </is>
      </c>
      <c r="C131" s="3">
        <f>C130/C129</f>
        <v/>
      </c>
      <c r="D131" s="3">
        <f>D130/D129</f>
        <v/>
      </c>
      <c r="E131" s="3">
        <f>E130/E129</f>
        <v/>
      </c>
      <c r="G131" s="3">
        <f>G130/G129</f>
        <v/>
      </c>
      <c r="H131" s="3">
        <f>H130/H129</f>
        <v/>
      </c>
      <c r="I131" s="3">
        <f>I130/I129</f>
        <v/>
      </c>
      <c r="K131" s="3">
        <f>K130/K129</f>
        <v/>
      </c>
      <c r="L131" s="3">
        <f>L130/L129</f>
        <v/>
      </c>
      <c r="M131" s="3">
        <f>M130/M129</f>
        <v/>
      </c>
    </row>
    <row r="132">
      <c r="A132" t="inlineStr">
        <is>
          <t>Bet</t>
        </is>
      </c>
      <c r="C132" s="3" t="n">
        <v>0</v>
      </c>
      <c r="D132" s="3" t="n">
        <v>0</v>
      </c>
      <c r="E132" s="3" t="n">
        <v>0</v>
      </c>
      <c r="G132" s="3" t="n">
        <v>0</v>
      </c>
      <c r="H132" s="3" t="n">
        <v>0</v>
      </c>
      <c r="I132" s="3" t="n">
        <v>0</v>
      </c>
      <c r="K132" s="3" t="n">
        <v>0</v>
      </c>
      <c r="L132" s="3" t="n">
        <v>0</v>
      </c>
      <c r="M132" s="3" t="n">
        <v>0</v>
      </c>
    </row>
    <row r="133">
      <c r="A133" t="inlineStr">
        <is>
          <t>Match result</t>
        </is>
      </c>
      <c r="C133" s="3" t="n">
        <v>0</v>
      </c>
      <c r="D133" s="3" t="n">
        <v>0</v>
      </c>
      <c r="E133" s="3" t="n">
        <v>0</v>
      </c>
      <c r="G133" s="3" t="n">
        <v>0</v>
      </c>
      <c r="H133" s="3" t="n">
        <v>0</v>
      </c>
      <c r="I133" s="3" t="n">
        <v>0</v>
      </c>
      <c r="K133" s="3" t="n">
        <v>0</v>
      </c>
      <c r="L133" s="3" t="n">
        <v>0</v>
      </c>
      <c r="M133" s="3" t="n">
        <v>0</v>
      </c>
    </row>
    <row r="134">
      <c r="A134" t="inlineStr">
        <is>
          <t>Income</t>
        </is>
      </c>
      <c r="C134" s="3">
        <f>C130*C133*C132-C132</f>
        <v/>
      </c>
      <c r="D134" s="3">
        <f>D130*D133*D132-D132</f>
        <v/>
      </c>
      <c r="E134" s="3">
        <f>E130*E133*E132-E132</f>
        <v/>
      </c>
      <c r="G134" s="3">
        <f>G130*G133*G132-G132</f>
        <v/>
      </c>
      <c r="H134" s="3">
        <f>H130*H133*H132-H132</f>
        <v/>
      </c>
      <c r="I134" s="3">
        <f>I130*I133*I132-I132</f>
        <v/>
      </c>
      <c r="K134" s="3">
        <f>K130*K133*K132-K132</f>
        <v/>
      </c>
      <c r="L134" s="3">
        <f>L130*L133*L132-L132</f>
        <v/>
      </c>
      <c r="M134" s="3">
        <f>M130*M133*M132-M132</f>
        <v/>
      </c>
    </row>
    <row r="136">
      <c r="A136" s="1" t="inlineStr">
        <is>
          <t>La Liga</t>
        </is>
      </c>
      <c r="C136" s="1" t="inlineStr">
        <is>
          <t>Win/Draw/Lose</t>
        </is>
      </c>
      <c r="E136" s="1">
        <f> 0+C143+D143+E143 + E127</f>
        <v/>
      </c>
      <c r="G136" s="1" t="inlineStr">
        <is>
          <t>1st half winner</t>
        </is>
      </c>
      <c r="I136" s="1">
        <f> 0+G143+H143+I143 + I127</f>
        <v/>
      </c>
      <c r="K136" s="1" t="inlineStr">
        <is>
          <t>2nd half winner</t>
        </is>
      </c>
      <c r="M136" s="1">
        <f> 0+K143+L143+M143 + M127</f>
        <v/>
      </c>
    </row>
    <row r="137">
      <c r="A137" t="inlineStr">
        <is>
          <t>Getafe - Barcelona</t>
        </is>
      </c>
      <c r="C137" s="2" t="inlineStr">
        <is>
          <t>W1</t>
        </is>
      </c>
      <c r="D137" s="2" t="inlineStr">
        <is>
          <t>X</t>
        </is>
      </c>
      <c r="E137" s="2" t="inlineStr">
        <is>
          <t>W2</t>
        </is>
      </c>
      <c r="G137" s="2" t="inlineStr">
        <is>
          <t>1st half W1</t>
        </is>
      </c>
      <c r="H137" s="2" t="inlineStr">
        <is>
          <t>1st half X</t>
        </is>
      </c>
      <c r="I137" s="2" t="inlineStr">
        <is>
          <t>1st half W2</t>
        </is>
      </c>
      <c r="K137" s="2" t="inlineStr">
        <is>
          <t>2st half W1</t>
        </is>
      </c>
      <c r="L137" s="2" t="inlineStr">
        <is>
          <t>2nd half X</t>
        </is>
      </c>
      <c r="M137" s="2" t="inlineStr">
        <is>
          <t>2nd half W2</t>
        </is>
      </c>
    </row>
    <row r="138">
      <c r="A138" t="inlineStr">
        <is>
          <t>App</t>
        </is>
      </c>
      <c r="C138" s="3" t="n">
        <v>3.023</v>
      </c>
      <c r="D138" s="3" t="n">
        <v>13.492</v>
      </c>
      <c r="E138" s="3" t="n">
        <v>1.68</v>
      </c>
      <c r="G138" s="3" t="n">
        <v>3.216</v>
      </c>
      <c r="H138" s="3" t="n">
        <v>2.071</v>
      </c>
      <c r="I138" s="3" t="n">
        <v>4.849</v>
      </c>
      <c r="K138" s="3" t="n">
        <v>4.818</v>
      </c>
      <c r="L138" s="3" t="n">
        <v>5.789</v>
      </c>
      <c r="M138" s="3" t="n">
        <v>1.613</v>
      </c>
    </row>
    <row r="139">
      <c r="A139" t="inlineStr">
        <is>
          <t>Bookmaker</t>
        </is>
      </c>
      <c r="C139" s="3" t="n">
        <v>0</v>
      </c>
      <c r="D139" s="3" t="n">
        <v>0</v>
      </c>
      <c r="E139" s="3" t="n">
        <v>0</v>
      </c>
      <c r="G139" s="3" t="n">
        <v>0</v>
      </c>
      <c r="H139" s="3" t="n">
        <v>0</v>
      </c>
      <c r="I139" s="3" t="n">
        <v>0</v>
      </c>
      <c r="K139" s="3" t="n">
        <v>0</v>
      </c>
      <c r="L139" s="3" t="n">
        <v>0</v>
      </c>
      <c r="M139" s="3" t="n">
        <v>0</v>
      </c>
    </row>
    <row r="140">
      <c r="A140" t="inlineStr">
        <is>
          <t>Expected payoff</t>
        </is>
      </c>
      <c r="C140" s="3">
        <f>C139/C138</f>
        <v/>
      </c>
      <c r="D140" s="3">
        <f>D139/D138</f>
        <v/>
      </c>
      <c r="E140" s="3">
        <f>E139/E138</f>
        <v/>
      </c>
      <c r="G140" s="3">
        <f>G139/G138</f>
        <v/>
      </c>
      <c r="H140" s="3">
        <f>H139/H138</f>
        <v/>
      </c>
      <c r="I140" s="3">
        <f>I139/I138</f>
        <v/>
      </c>
      <c r="K140" s="3">
        <f>K139/K138</f>
        <v/>
      </c>
      <c r="L140" s="3">
        <f>L139/L138</f>
        <v/>
      </c>
      <c r="M140" s="3">
        <f>M139/M138</f>
        <v/>
      </c>
    </row>
    <row r="141">
      <c r="A141" t="inlineStr">
        <is>
          <t>Bet</t>
        </is>
      </c>
      <c r="C141" s="3" t="n">
        <v>0</v>
      </c>
      <c r="D141" s="3" t="n">
        <v>0</v>
      </c>
      <c r="E141" s="3" t="n">
        <v>0</v>
      </c>
      <c r="G141" s="3" t="n">
        <v>0</v>
      </c>
      <c r="H141" s="3" t="n">
        <v>0</v>
      </c>
      <c r="I141" s="3" t="n">
        <v>0</v>
      </c>
      <c r="K141" s="3" t="n">
        <v>0</v>
      </c>
      <c r="L141" s="3" t="n">
        <v>0</v>
      </c>
      <c r="M141" s="3" t="n">
        <v>0</v>
      </c>
    </row>
    <row r="142">
      <c r="A142" t="inlineStr">
        <is>
          <t>Match result</t>
        </is>
      </c>
      <c r="C142" s="3" t="n">
        <v>0</v>
      </c>
      <c r="D142" s="3" t="n">
        <v>0</v>
      </c>
      <c r="E142" s="3" t="n">
        <v>0</v>
      </c>
      <c r="G142" s="3" t="n">
        <v>0</v>
      </c>
      <c r="H142" s="3" t="n">
        <v>0</v>
      </c>
      <c r="I142" s="3" t="n">
        <v>0</v>
      </c>
      <c r="K142" s="3" t="n">
        <v>0</v>
      </c>
      <c r="L142" s="3" t="n">
        <v>0</v>
      </c>
      <c r="M142" s="3" t="n">
        <v>0</v>
      </c>
    </row>
    <row r="143">
      <c r="A143" t="inlineStr">
        <is>
          <t>Income</t>
        </is>
      </c>
      <c r="C143" s="3">
        <f>C139*C142*C141-C141</f>
        <v/>
      </c>
      <c r="D143" s="3">
        <f>D139*D142*D141-D141</f>
        <v/>
      </c>
      <c r="E143" s="3">
        <f>E139*E142*E141-E141</f>
        <v/>
      </c>
      <c r="G143" s="3">
        <f>G139*G142*G141-G141</f>
        <v/>
      </c>
      <c r="H143" s="3">
        <f>H139*H142*H141-H141</f>
        <v/>
      </c>
      <c r="I143" s="3">
        <f>I139*I142*I141-I141</f>
        <v/>
      </c>
      <c r="K143" s="3">
        <f>K139*K142*K141-K141</f>
        <v/>
      </c>
      <c r="L143" s="3">
        <f>L139*L142*L141-L141</f>
        <v/>
      </c>
      <c r="M143" s="3">
        <f>M139*M142*M141-M141</f>
        <v/>
      </c>
    </row>
    <row r="145">
      <c r="A145" s="1" t="inlineStr">
        <is>
          <t>La Liga</t>
        </is>
      </c>
      <c r="C145" s="1" t="inlineStr">
        <is>
          <t>Win/Draw/Lose</t>
        </is>
      </c>
      <c r="E145" s="1">
        <f> 0+C152+D152+E152 + E136</f>
        <v/>
      </c>
      <c r="G145" s="1" t="inlineStr">
        <is>
          <t>1st half winner</t>
        </is>
      </c>
      <c r="I145" s="1">
        <f> 0+G152+H152+I152 + I136</f>
        <v/>
      </c>
      <c r="K145" s="1" t="inlineStr">
        <is>
          <t>2nd half winner</t>
        </is>
      </c>
      <c r="M145" s="1">
        <f> 0+K152+L152+M152 + M136</f>
        <v/>
      </c>
    </row>
    <row r="146">
      <c r="A146" t="inlineStr">
        <is>
          <t>Celta Vigo - Athletic Club</t>
        </is>
      </c>
      <c r="C146" s="2" t="inlineStr">
        <is>
          <t>W1</t>
        </is>
      </c>
      <c r="D146" s="2" t="inlineStr">
        <is>
          <t>X</t>
        </is>
      </c>
      <c r="E146" s="2" t="inlineStr">
        <is>
          <t>W2</t>
        </is>
      </c>
      <c r="G146" s="2" t="inlineStr">
        <is>
          <t>1st half W1</t>
        </is>
      </c>
      <c r="H146" s="2" t="inlineStr">
        <is>
          <t>1st half X</t>
        </is>
      </c>
      <c r="I146" s="2" t="inlineStr">
        <is>
          <t>1st half W2</t>
        </is>
      </c>
      <c r="K146" s="2" t="inlineStr">
        <is>
          <t>2st half W1</t>
        </is>
      </c>
      <c r="L146" s="2" t="inlineStr">
        <is>
          <t>2nd half X</t>
        </is>
      </c>
      <c r="M146" s="2" t="inlineStr">
        <is>
          <t>2nd half W2</t>
        </is>
      </c>
    </row>
    <row r="147">
      <c r="A147" t="inlineStr">
        <is>
          <t>App</t>
        </is>
      </c>
      <c r="C147" s="3" t="n">
        <v>10.385</v>
      </c>
      <c r="D147" s="3" t="n">
        <v>4.073</v>
      </c>
      <c r="E147" s="3" t="n">
        <v>1.519</v>
      </c>
      <c r="G147" s="3" t="n">
        <v>20.3</v>
      </c>
      <c r="H147" s="3" t="n">
        <v>2.462</v>
      </c>
      <c r="I147" s="3" t="n">
        <v>1.835</v>
      </c>
      <c r="K147" s="3" t="n">
        <v>6.276</v>
      </c>
      <c r="L147" s="3" t="n">
        <v>2.661</v>
      </c>
      <c r="M147" s="3" t="n">
        <v>2.151</v>
      </c>
    </row>
    <row r="148">
      <c r="A148" t="inlineStr">
        <is>
          <t>Bookmaker</t>
        </is>
      </c>
      <c r="C148" s="3" t="n">
        <v>0</v>
      </c>
      <c r="D148" s="3" t="n">
        <v>0</v>
      </c>
      <c r="E148" s="3" t="n">
        <v>0</v>
      </c>
      <c r="G148" s="3" t="n">
        <v>0</v>
      </c>
      <c r="H148" s="3" t="n">
        <v>0</v>
      </c>
      <c r="I148" s="3" t="n">
        <v>0</v>
      </c>
      <c r="K148" s="3" t="n">
        <v>0</v>
      </c>
      <c r="L148" s="3" t="n">
        <v>0</v>
      </c>
      <c r="M148" s="3" t="n">
        <v>0</v>
      </c>
    </row>
    <row r="149">
      <c r="A149" t="inlineStr">
        <is>
          <t>Expected payoff</t>
        </is>
      </c>
      <c r="C149" s="3">
        <f>C148/C147</f>
        <v/>
      </c>
      <c r="D149" s="3">
        <f>D148/D147</f>
        <v/>
      </c>
      <c r="E149" s="3">
        <f>E148/E147</f>
        <v/>
      </c>
      <c r="G149" s="3">
        <f>G148/G147</f>
        <v/>
      </c>
      <c r="H149" s="3">
        <f>H148/H147</f>
        <v/>
      </c>
      <c r="I149" s="3">
        <f>I148/I147</f>
        <v/>
      </c>
      <c r="K149" s="3">
        <f>K148/K147</f>
        <v/>
      </c>
      <c r="L149" s="3">
        <f>L148/L147</f>
        <v/>
      </c>
      <c r="M149" s="3">
        <f>M148/M147</f>
        <v/>
      </c>
    </row>
    <row r="150">
      <c r="A150" t="inlineStr">
        <is>
          <t>Bet</t>
        </is>
      </c>
      <c r="C150" s="3" t="n">
        <v>0</v>
      </c>
      <c r="D150" s="3" t="n">
        <v>0</v>
      </c>
      <c r="E150" s="3" t="n">
        <v>0</v>
      </c>
      <c r="G150" s="3" t="n">
        <v>0</v>
      </c>
      <c r="H150" s="3" t="n">
        <v>0</v>
      </c>
      <c r="I150" s="3" t="n">
        <v>0</v>
      </c>
      <c r="K150" s="3" t="n">
        <v>0</v>
      </c>
      <c r="L150" s="3" t="n">
        <v>0</v>
      </c>
      <c r="M150" s="3" t="n">
        <v>0</v>
      </c>
    </row>
    <row r="151">
      <c r="A151" t="inlineStr">
        <is>
          <t>Match result</t>
        </is>
      </c>
      <c r="C151" s="3" t="n">
        <v>0</v>
      </c>
      <c r="D151" s="3" t="n">
        <v>0</v>
      </c>
      <c r="E151" s="3" t="n">
        <v>0</v>
      </c>
      <c r="G151" s="3" t="n">
        <v>0</v>
      </c>
      <c r="H151" s="3" t="n">
        <v>0</v>
      </c>
      <c r="I151" s="3" t="n">
        <v>0</v>
      </c>
      <c r="K151" s="3" t="n">
        <v>0</v>
      </c>
      <c r="L151" s="3" t="n">
        <v>0</v>
      </c>
      <c r="M151" s="3" t="n">
        <v>0</v>
      </c>
    </row>
    <row r="152">
      <c r="A152" t="inlineStr">
        <is>
          <t>Income</t>
        </is>
      </c>
      <c r="C152" s="3">
        <f>C148*C151*C150-C150</f>
        <v/>
      </c>
      <c r="D152" s="3">
        <f>D148*D151*D150-D150</f>
        <v/>
      </c>
      <c r="E152" s="3">
        <f>E148*E151*E150-E150</f>
        <v/>
      </c>
      <c r="G152" s="3">
        <f>G148*G151*G150-G150</f>
        <v/>
      </c>
      <c r="H152" s="3">
        <f>H148*H151*H150-H150</f>
        <v/>
      </c>
      <c r="I152" s="3">
        <f>I148*I151*I150-I150</f>
        <v/>
      </c>
      <c r="K152" s="3">
        <f>K148*K151*K150-K150</f>
        <v/>
      </c>
      <c r="L152" s="3">
        <f>L148*L151*L150-L150</f>
        <v/>
      </c>
      <c r="M152" s="3">
        <f>M148*M151*M150-M150</f>
        <v/>
      </c>
    </row>
    <row r="154">
      <c r="A154" s="1" t="inlineStr">
        <is>
          <t>La Liga</t>
        </is>
      </c>
      <c r="C154" s="1" t="inlineStr">
        <is>
          <t>Win/Draw/Lose</t>
        </is>
      </c>
      <c r="E154" s="1">
        <f> 0+C161+D161+E161 + E145</f>
        <v/>
      </c>
      <c r="G154" s="1" t="inlineStr">
        <is>
          <t>1st half winner</t>
        </is>
      </c>
      <c r="I154" s="1">
        <f> 0+G161+H161+I161 + I145</f>
        <v/>
      </c>
      <c r="K154" s="1" t="inlineStr">
        <is>
          <t>2nd half winner</t>
        </is>
      </c>
      <c r="M154" s="1">
        <f> 0+K161+L161+M161 + M145</f>
        <v/>
      </c>
    </row>
    <row r="155">
      <c r="A155" t="inlineStr">
        <is>
          <t>Real Madrid - Las Palmas</t>
        </is>
      </c>
      <c r="C155" s="2" t="inlineStr">
        <is>
          <t>W1</t>
        </is>
      </c>
      <c r="D155" s="2" t="inlineStr">
        <is>
          <t>X</t>
        </is>
      </c>
      <c r="E155" s="2" t="inlineStr">
        <is>
          <t>W2</t>
        </is>
      </c>
      <c r="G155" s="2" t="inlineStr">
        <is>
          <t>1st half W1</t>
        </is>
      </c>
      <c r="H155" s="2" t="inlineStr">
        <is>
          <t>1st half X</t>
        </is>
      </c>
      <c r="I155" s="2" t="inlineStr">
        <is>
          <t>1st half W2</t>
        </is>
      </c>
      <c r="K155" s="2" t="inlineStr">
        <is>
          <t>2st half W1</t>
        </is>
      </c>
      <c r="L155" s="2" t="inlineStr">
        <is>
          <t>2nd half X</t>
        </is>
      </c>
      <c r="M155" s="2" t="inlineStr">
        <is>
          <t>2nd half W2</t>
        </is>
      </c>
    </row>
    <row r="156">
      <c r="A156" t="inlineStr">
        <is>
          <t>App</t>
        </is>
      </c>
      <c r="C156" s="3" t="n">
        <v>1.407</v>
      </c>
      <c r="D156" s="3" t="n">
        <v>68.98099999999999</v>
      </c>
      <c r="E156" s="3" t="n">
        <v>3.634</v>
      </c>
      <c r="G156" s="3" t="n">
        <v>1.475</v>
      </c>
      <c r="H156" s="3" t="n">
        <v>6.305</v>
      </c>
      <c r="I156" s="3" t="n">
        <v>6.107</v>
      </c>
      <c r="K156" s="3" t="n">
        <v>1.88</v>
      </c>
      <c r="L156" s="3" t="n">
        <v>4.047</v>
      </c>
      <c r="M156" s="3" t="n">
        <v>4.519</v>
      </c>
    </row>
    <row r="157">
      <c r="A157" t="inlineStr">
        <is>
          <t>Bookmaker</t>
        </is>
      </c>
      <c r="C157" s="3" t="n">
        <v>0</v>
      </c>
      <c r="D157" s="3" t="n">
        <v>0</v>
      </c>
      <c r="E157" s="3" t="n">
        <v>0</v>
      </c>
      <c r="G157" s="3" t="n">
        <v>0</v>
      </c>
      <c r="H157" s="3" t="n">
        <v>0</v>
      </c>
      <c r="I157" s="3" t="n">
        <v>0</v>
      </c>
      <c r="K157" s="3" t="n">
        <v>0</v>
      </c>
      <c r="L157" s="3" t="n">
        <v>0</v>
      </c>
      <c r="M157" s="3" t="n">
        <v>0</v>
      </c>
    </row>
    <row r="158">
      <c r="A158" t="inlineStr">
        <is>
          <t>Expected payoff</t>
        </is>
      </c>
      <c r="C158" s="3">
        <f>C157/C156</f>
        <v/>
      </c>
      <c r="D158" s="3">
        <f>D157/D156</f>
        <v/>
      </c>
      <c r="E158" s="3">
        <f>E157/E156</f>
        <v/>
      </c>
      <c r="G158" s="3">
        <f>G157/G156</f>
        <v/>
      </c>
      <c r="H158" s="3">
        <f>H157/H156</f>
        <v/>
      </c>
      <c r="I158" s="3">
        <f>I157/I156</f>
        <v/>
      </c>
      <c r="K158" s="3">
        <f>K157/K156</f>
        <v/>
      </c>
      <c r="L158" s="3">
        <f>L157/L156</f>
        <v/>
      </c>
      <c r="M158" s="3">
        <f>M157/M156</f>
        <v/>
      </c>
    </row>
    <row r="159">
      <c r="A159" t="inlineStr">
        <is>
          <t>Bet</t>
        </is>
      </c>
      <c r="C159" s="3" t="n">
        <v>0</v>
      </c>
      <c r="D159" s="3" t="n">
        <v>0</v>
      </c>
      <c r="E159" s="3" t="n">
        <v>0</v>
      </c>
      <c r="G159" s="3" t="n">
        <v>0</v>
      </c>
      <c r="H159" s="3" t="n">
        <v>0</v>
      </c>
      <c r="I159" s="3" t="n">
        <v>0</v>
      </c>
      <c r="K159" s="3" t="n">
        <v>0</v>
      </c>
      <c r="L159" s="3" t="n">
        <v>0</v>
      </c>
      <c r="M159" s="3" t="n">
        <v>0</v>
      </c>
    </row>
    <row r="160">
      <c r="A160" t="inlineStr">
        <is>
          <t>Match result</t>
        </is>
      </c>
      <c r="C160" s="3" t="n">
        <v>0</v>
      </c>
      <c r="D160" s="3" t="n">
        <v>0</v>
      </c>
      <c r="E160" s="3" t="n">
        <v>0</v>
      </c>
      <c r="G160" s="3" t="n">
        <v>0</v>
      </c>
      <c r="H160" s="3" t="n">
        <v>0</v>
      </c>
      <c r="I160" s="3" t="n">
        <v>0</v>
      </c>
      <c r="K160" s="3" t="n">
        <v>0</v>
      </c>
      <c r="L160" s="3" t="n">
        <v>0</v>
      </c>
      <c r="M160" s="3" t="n">
        <v>0</v>
      </c>
    </row>
    <row r="161">
      <c r="A161" t="inlineStr">
        <is>
          <t>Income</t>
        </is>
      </c>
      <c r="C161" s="3">
        <f>C157*C160*C159-C159</f>
        <v/>
      </c>
      <c r="D161" s="3">
        <f>D157*D160*D159-D159</f>
        <v/>
      </c>
      <c r="E161" s="3">
        <f>E157*E160*E159-E159</f>
        <v/>
      </c>
      <c r="G161" s="3">
        <f>G157*G160*G159-G159</f>
        <v/>
      </c>
      <c r="H161" s="3">
        <f>H157*H160*H159-H159</f>
        <v/>
      </c>
      <c r="I161" s="3">
        <f>I157*I160*I159-I159</f>
        <v/>
      </c>
      <c r="K161" s="3">
        <f>K157*K160*K159-K159</f>
        <v/>
      </c>
      <c r="L161" s="3">
        <f>L157*L160*L159-L159</f>
        <v/>
      </c>
      <c r="M161" s="3">
        <f>M157*M160*M159-M159</f>
        <v/>
      </c>
    </row>
    <row r="163">
      <c r="A163" s="1" t="inlineStr">
        <is>
          <t>La Liga</t>
        </is>
      </c>
      <c r="C163" s="1" t="inlineStr">
        <is>
          <t>Win/Draw/Lose</t>
        </is>
      </c>
      <c r="E163" s="1">
        <f> 0+C170+D170+E170 + E154</f>
        <v/>
      </c>
      <c r="G163" s="1" t="inlineStr">
        <is>
          <t>1st half winner</t>
        </is>
      </c>
      <c r="I163" s="1">
        <f> 0+G170+H170+I170 + I154</f>
        <v/>
      </c>
      <c r="K163" s="1" t="inlineStr">
        <is>
          <t>2nd half winner</t>
        </is>
      </c>
      <c r="M163" s="1">
        <f> 0+K170+L170+M170 + M154</f>
        <v/>
      </c>
    </row>
    <row r="164">
      <c r="A164" t="inlineStr">
        <is>
          <t>Osasuna - Rayo Vallecano</t>
        </is>
      </c>
      <c r="C164" s="2" t="inlineStr">
        <is>
          <t>W1</t>
        </is>
      </c>
      <c r="D164" s="2" t="inlineStr">
        <is>
          <t>X</t>
        </is>
      </c>
      <c r="E164" s="2" t="inlineStr">
        <is>
          <t>W2</t>
        </is>
      </c>
      <c r="G164" s="2" t="inlineStr">
        <is>
          <t>1st half W1</t>
        </is>
      </c>
      <c r="H164" s="2" t="inlineStr">
        <is>
          <t>1st half X</t>
        </is>
      </c>
      <c r="I164" s="2" t="inlineStr">
        <is>
          <t>1st half W2</t>
        </is>
      </c>
      <c r="K164" s="2" t="inlineStr">
        <is>
          <t>2st half W1</t>
        </is>
      </c>
      <c r="L164" s="2" t="inlineStr">
        <is>
          <t>2nd half X</t>
        </is>
      </c>
      <c r="M164" s="2" t="inlineStr">
        <is>
          <t>2nd half W2</t>
        </is>
      </c>
    </row>
    <row r="165">
      <c r="A165" t="inlineStr">
        <is>
          <t>App</t>
        </is>
      </c>
      <c r="C165" s="3" t="n">
        <v>1.766</v>
      </c>
      <c r="D165" s="3" t="n">
        <v>4.21</v>
      </c>
      <c r="E165" s="3" t="n">
        <v>5.094</v>
      </c>
      <c r="G165" s="3" t="n">
        <v>6.044</v>
      </c>
      <c r="H165" s="3" t="n">
        <v>2.017</v>
      </c>
      <c r="I165" s="3" t="n">
        <v>2.951</v>
      </c>
      <c r="K165" s="3" t="n">
        <v>1.635</v>
      </c>
      <c r="L165" s="3" t="n">
        <v>6.968</v>
      </c>
      <c r="M165" s="3" t="n">
        <v>4.077</v>
      </c>
    </row>
    <row r="166">
      <c r="A166" t="inlineStr">
        <is>
          <t>Bookmaker</t>
        </is>
      </c>
      <c r="C166" s="3" t="n">
        <v>0</v>
      </c>
      <c r="D166" s="3" t="n">
        <v>0</v>
      </c>
      <c r="E166" s="3" t="n">
        <v>0</v>
      </c>
      <c r="G166" s="3" t="n">
        <v>0</v>
      </c>
      <c r="H166" s="3" t="n">
        <v>0</v>
      </c>
      <c r="I166" s="3" t="n">
        <v>0</v>
      </c>
      <c r="K166" s="3" t="n">
        <v>0</v>
      </c>
      <c r="L166" s="3" t="n">
        <v>0</v>
      </c>
      <c r="M166" s="3" t="n">
        <v>0</v>
      </c>
    </row>
    <row r="167">
      <c r="A167" t="inlineStr">
        <is>
          <t>Expected payoff</t>
        </is>
      </c>
      <c r="C167" s="3">
        <f>C166/C165</f>
        <v/>
      </c>
      <c r="D167" s="3">
        <f>D166/D165</f>
        <v/>
      </c>
      <c r="E167" s="3">
        <f>E166/E165</f>
        <v/>
      </c>
      <c r="G167" s="3">
        <f>G166/G165</f>
        <v/>
      </c>
      <c r="H167" s="3">
        <f>H166/H165</f>
        <v/>
      </c>
      <c r="I167" s="3">
        <f>I166/I165</f>
        <v/>
      </c>
      <c r="K167" s="3">
        <f>K166/K165</f>
        <v/>
      </c>
      <c r="L167" s="3">
        <f>L166/L165</f>
        <v/>
      </c>
      <c r="M167" s="3">
        <f>M166/M165</f>
        <v/>
      </c>
    </row>
    <row r="168">
      <c r="A168" t="inlineStr">
        <is>
          <t>Bet</t>
        </is>
      </c>
      <c r="C168" s="3" t="n">
        <v>0</v>
      </c>
      <c r="D168" s="3" t="n">
        <v>0</v>
      </c>
      <c r="E168" s="3" t="n">
        <v>0</v>
      </c>
      <c r="G168" s="3" t="n">
        <v>0</v>
      </c>
      <c r="H168" s="3" t="n">
        <v>0</v>
      </c>
      <c r="I168" s="3" t="n">
        <v>0</v>
      </c>
      <c r="K168" s="3" t="n">
        <v>0</v>
      </c>
      <c r="L168" s="3" t="n">
        <v>0</v>
      </c>
      <c r="M168" s="3" t="n">
        <v>0</v>
      </c>
    </row>
    <row r="169">
      <c r="A169" t="inlineStr">
        <is>
          <t>Match result</t>
        </is>
      </c>
      <c r="C169" s="3" t="n">
        <v>0</v>
      </c>
      <c r="D169" s="3" t="n">
        <v>0</v>
      </c>
      <c r="E169" s="3" t="n">
        <v>0</v>
      </c>
      <c r="G169" s="3" t="n">
        <v>0</v>
      </c>
      <c r="H169" s="3" t="n">
        <v>0</v>
      </c>
      <c r="I169" s="3" t="n">
        <v>0</v>
      </c>
      <c r="K169" s="3" t="n">
        <v>0</v>
      </c>
      <c r="L169" s="3" t="n">
        <v>0</v>
      </c>
      <c r="M169" s="3" t="n">
        <v>0</v>
      </c>
    </row>
    <row r="170">
      <c r="A170" t="inlineStr">
        <is>
          <t>Income</t>
        </is>
      </c>
      <c r="C170" s="3">
        <f>C166*C169*C168-C168</f>
        <v/>
      </c>
      <c r="D170" s="3">
        <f>D166*D169*D168-D168</f>
        <v/>
      </c>
      <c r="E170" s="3">
        <f>E166*E169*E168-E168</f>
        <v/>
      </c>
      <c r="G170" s="3">
        <f>G166*G169*G168-G168</f>
        <v/>
      </c>
      <c r="H170" s="3">
        <f>H166*H169*H168-H168</f>
        <v/>
      </c>
      <c r="I170" s="3">
        <f>I166*I169*I168-I168</f>
        <v/>
      </c>
      <c r="K170" s="3">
        <f>K166*K169*K168-K168</f>
        <v/>
      </c>
      <c r="L170" s="3">
        <f>L166*L169*L168-L168</f>
        <v/>
      </c>
      <c r="M170" s="3">
        <f>M166*M169*M168-M168</f>
        <v/>
      </c>
    </row>
    <row r="172">
      <c r="A172" s="1" t="inlineStr">
        <is>
          <t>La Liga</t>
        </is>
      </c>
      <c r="C172" s="1" t="inlineStr">
        <is>
          <t>Win/Draw/Lose</t>
        </is>
      </c>
      <c r="E172" s="1">
        <f> 0+C179+D179+E179 + E163</f>
        <v/>
      </c>
      <c r="G172" s="1" t="inlineStr">
        <is>
          <t>1st half winner</t>
        </is>
      </c>
      <c r="I172" s="1">
        <f> 0+G179+H179+I179 + I163</f>
        <v/>
      </c>
      <c r="K172" s="1" t="inlineStr">
        <is>
          <t>2nd half winner</t>
        </is>
      </c>
      <c r="M172" s="1">
        <f> 0+K179+L179+M179 + M163</f>
        <v/>
      </c>
    </row>
    <row r="173">
      <c r="A173" t="inlineStr">
        <is>
          <t>Valencia - Real Sociedad</t>
        </is>
      </c>
      <c r="C173" s="2" t="inlineStr">
        <is>
          <t>W1</t>
        </is>
      </c>
      <c r="D173" s="2" t="inlineStr">
        <is>
          <t>X</t>
        </is>
      </c>
      <c r="E173" s="2" t="inlineStr">
        <is>
          <t>W2</t>
        </is>
      </c>
      <c r="G173" s="2" t="inlineStr">
        <is>
          <t>1st half W1</t>
        </is>
      </c>
      <c r="H173" s="2" t="inlineStr">
        <is>
          <t>1st half X</t>
        </is>
      </c>
      <c r="I173" s="2" t="inlineStr">
        <is>
          <t>1st half W2</t>
        </is>
      </c>
      <c r="K173" s="2" t="inlineStr">
        <is>
          <t>2st half W1</t>
        </is>
      </c>
      <c r="L173" s="2" t="inlineStr">
        <is>
          <t>2nd half X</t>
        </is>
      </c>
      <c r="M173" s="2" t="inlineStr">
        <is>
          <t>2nd half W2</t>
        </is>
      </c>
    </row>
    <row r="174">
      <c r="A174" t="inlineStr">
        <is>
          <t>App</t>
        </is>
      </c>
      <c r="C174" s="3" t="n">
        <v>5.107</v>
      </c>
      <c r="D174" s="3" t="n">
        <v>3.826</v>
      </c>
      <c r="E174" s="3" t="n">
        <v>1.842</v>
      </c>
      <c r="G174" s="3" t="n">
        <v>2.938</v>
      </c>
      <c r="H174" s="3" t="n">
        <v>1.551</v>
      </c>
      <c r="I174" s="3" t="n">
        <v>66.833</v>
      </c>
      <c r="K174" s="3" t="n">
        <v>4.777</v>
      </c>
      <c r="L174" s="3" t="n">
        <v>1.353</v>
      </c>
      <c r="M174" s="3" t="n">
        <v>19.249</v>
      </c>
    </row>
    <row r="175">
      <c r="A175" t="inlineStr">
        <is>
          <t>Bookmaker</t>
        </is>
      </c>
      <c r="C175" s="3" t="n">
        <v>0</v>
      </c>
      <c r="D175" s="3" t="n">
        <v>0</v>
      </c>
      <c r="E175" s="3" t="n">
        <v>0</v>
      </c>
      <c r="G175" s="3" t="n">
        <v>0</v>
      </c>
      <c r="H175" s="3" t="n">
        <v>0</v>
      </c>
      <c r="I175" s="3" t="n">
        <v>0</v>
      </c>
      <c r="K175" s="3" t="n">
        <v>0</v>
      </c>
      <c r="L175" s="3" t="n">
        <v>0</v>
      </c>
      <c r="M175" s="3" t="n">
        <v>0</v>
      </c>
    </row>
    <row r="176">
      <c r="A176" t="inlineStr">
        <is>
          <t>Expected payoff</t>
        </is>
      </c>
      <c r="C176" s="3">
        <f>C175/C174</f>
        <v/>
      </c>
      <c r="D176" s="3">
        <f>D175/D174</f>
        <v/>
      </c>
      <c r="E176" s="3">
        <f>E175/E174</f>
        <v/>
      </c>
      <c r="G176" s="3">
        <f>G175/G174</f>
        <v/>
      </c>
      <c r="H176" s="3">
        <f>H175/H174</f>
        <v/>
      </c>
      <c r="I176" s="3">
        <f>I175/I174</f>
        <v/>
      </c>
      <c r="K176" s="3">
        <f>K175/K174</f>
        <v/>
      </c>
      <c r="L176" s="3">
        <f>L175/L174</f>
        <v/>
      </c>
      <c r="M176" s="3">
        <f>M175/M174</f>
        <v/>
      </c>
    </row>
    <row r="177">
      <c r="A177" t="inlineStr">
        <is>
          <t>Bet</t>
        </is>
      </c>
      <c r="C177" s="3" t="n">
        <v>0</v>
      </c>
      <c r="D177" s="3" t="n">
        <v>0</v>
      </c>
      <c r="E177" s="3" t="n">
        <v>0</v>
      </c>
      <c r="G177" s="3" t="n">
        <v>0</v>
      </c>
      <c r="H177" s="3" t="n">
        <v>0</v>
      </c>
      <c r="I177" s="3" t="n">
        <v>0</v>
      </c>
      <c r="K177" s="3" t="n">
        <v>0</v>
      </c>
      <c r="L177" s="3" t="n">
        <v>0</v>
      </c>
      <c r="M177" s="3" t="n">
        <v>0</v>
      </c>
    </row>
    <row r="178">
      <c r="A178" t="inlineStr">
        <is>
          <t>Match result</t>
        </is>
      </c>
      <c r="C178" s="3" t="n">
        <v>0</v>
      </c>
      <c r="D178" s="3" t="n">
        <v>0</v>
      </c>
      <c r="E178" s="3" t="n">
        <v>0</v>
      </c>
      <c r="G178" s="3" t="n">
        <v>0</v>
      </c>
      <c r="H178" s="3" t="n">
        <v>0</v>
      </c>
      <c r="I178" s="3" t="n">
        <v>0</v>
      </c>
      <c r="K178" s="3" t="n">
        <v>0</v>
      </c>
      <c r="L178" s="3" t="n">
        <v>0</v>
      </c>
      <c r="M178" s="3" t="n">
        <v>0</v>
      </c>
    </row>
    <row r="179">
      <c r="A179" t="inlineStr">
        <is>
          <t>Income</t>
        </is>
      </c>
      <c r="C179" s="3">
        <f>C175*C178*C177-C177</f>
        <v/>
      </c>
      <c r="D179" s="3">
        <f>D175*D178*D177-D177</f>
        <v/>
      </c>
      <c r="E179" s="3">
        <f>E175*E178*E177-E177</f>
        <v/>
      </c>
      <c r="G179" s="3">
        <f>G175*G178*G177-G177</f>
        <v/>
      </c>
      <c r="H179" s="3">
        <f>H175*H178*H177-H177</f>
        <v/>
      </c>
      <c r="I179" s="3">
        <f>I175*I178*I177-I177</f>
        <v/>
      </c>
      <c r="K179" s="3">
        <f>K175*K178*K177-K177</f>
        <v/>
      </c>
      <c r="L179" s="3">
        <f>L175*L178*L177-L177</f>
        <v/>
      </c>
      <c r="M179" s="3">
        <f>M175*M178*M177-M177</f>
        <v/>
      </c>
    </row>
    <row r="181">
      <c r="A181" s="1" t="inlineStr">
        <is>
          <t>La Liga</t>
        </is>
      </c>
      <c r="C181" s="1" t="inlineStr">
        <is>
          <t>Win/Draw/Lose</t>
        </is>
      </c>
      <c r="E181" s="1">
        <f> 0+C188+D188+E188 + E172</f>
        <v/>
      </c>
      <c r="G181" s="1" t="inlineStr">
        <is>
          <t>1st half winner</t>
        </is>
      </c>
      <c r="I181" s="1">
        <f> 0+G188+H188+I188 + I172</f>
        <v/>
      </c>
      <c r="K181" s="1" t="inlineStr">
        <is>
          <t>2nd half winner</t>
        </is>
      </c>
      <c r="M181" s="1">
        <f> 0+K188+L188+M188 + M172</f>
        <v/>
      </c>
    </row>
    <row r="182">
      <c r="A182" t="inlineStr">
        <is>
          <t>Villarreal - Mallorca</t>
        </is>
      </c>
      <c r="C182" s="2" t="inlineStr">
        <is>
          <t>W1</t>
        </is>
      </c>
      <c r="D182" s="2" t="inlineStr">
        <is>
          <t>X</t>
        </is>
      </c>
      <c r="E182" s="2" t="inlineStr">
        <is>
          <t>W2</t>
        </is>
      </c>
      <c r="G182" s="2" t="inlineStr">
        <is>
          <t>1st half W1</t>
        </is>
      </c>
      <c r="H182" s="2" t="inlineStr">
        <is>
          <t>1st half X</t>
        </is>
      </c>
      <c r="I182" s="2" t="inlineStr">
        <is>
          <t>1st half W2</t>
        </is>
      </c>
      <c r="K182" s="2" t="inlineStr">
        <is>
          <t>2st half W1</t>
        </is>
      </c>
      <c r="L182" s="2" t="inlineStr">
        <is>
          <t>2nd half X</t>
        </is>
      </c>
      <c r="M182" s="2" t="inlineStr">
        <is>
          <t>2nd half W2</t>
        </is>
      </c>
    </row>
    <row r="183">
      <c r="A183" t="inlineStr">
        <is>
          <t>App</t>
        </is>
      </c>
      <c r="C183" s="3" t="n">
        <v>3.188</v>
      </c>
      <c r="D183" s="3" t="n">
        <v>53.409</v>
      </c>
      <c r="E183" s="3" t="n">
        <v>1.497</v>
      </c>
      <c r="G183" s="3" t="n">
        <v>4.684</v>
      </c>
      <c r="H183" s="3" t="n">
        <v>2.278</v>
      </c>
      <c r="I183" s="3" t="n">
        <v>2.876</v>
      </c>
      <c r="K183" s="3" t="n">
        <v>2.691</v>
      </c>
      <c r="L183" s="3" t="n">
        <v>27.946</v>
      </c>
      <c r="M183" s="3" t="n">
        <v>1.687</v>
      </c>
    </row>
    <row r="184">
      <c r="A184" t="inlineStr">
        <is>
          <t>Bookmaker</t>
        </is>
      </c>
      <c r="C184" s="3" t="n">
        <v>0</v>
      </c>
      <c r="D184" s="3" t="n">
        <v>0</v>
      </c>
      <c r="E184" s="3" t="n">
        <v>0</v>
      </c>
      <c r="G184" s="3" t="n">
        <v>0</v>
      </c>
      <c r="H184" s="3" t="n">
        <v>0</v>
      </c>
      <c r="I184" s="3" t="n">
        <v>0</v>
      </c>
      <c r="K184" s="3" t="n">
        <v>0</v>
      </c>
      <c r="L184" s="3" t="n">
        <v>0</v>
      </c>
      <c r="M184" s="3" t="n">
        <v>0</v>
      </c>
    </row>
    <row r="185">
      <c r="A185" t="inlineStr">
        <is>
          <t>Expected payoff</t>
        </is>
      </c>
      <c r="C185" s="3">
        <f>C184/C183</f>
        <v/>
      </c>
      <c r="D185" s="3">
        <f>D184/D183</f>
        <v/>
      </c>
      <c r="E185" s="3">
        <f>E184/E183</f>
        <v/>
      </c>
      <c r="G185" s="3">
        <f>G184/G183</f>
        <v/>
      </c>
      <c r="H185" s="3">
        <f>H184/H183</f>
        <v/>
      </c>
      <c r="I185" s="3">
        <f>I184/I183</f>
        <v/>
      </c>
      <c r="K185" s="3">
        <f>K184/K183</f>
        <v/>
      </c>
      <c r="L185" s="3">
        <f>L184/L183</f>
        <v/>
      </c>
      <c r="M185" s="3">
        <f>M184/M183</f>
        <v/>
      </c>
    </row>
    <row r="186">
      <c r="A186" t="inlineStr">
        <is>
          <t>Bet</t>
        </is>
      </c>
      <c r="C186" s="3" t="n">
        <v>0</v>
      </c>
      <c r="D186" s="3" t="n">
        <v>0</v>
      </c>
      <c r="E186" s="3" t="n">
        <v>0</v>
      </c>
      <c r="G186" s="3" t="n">
        <v>0</v>
      </c>
      <c r="H186" s="3" t="n">
        <v>0</v>
      </c>
      <c r="I186" s="3" t="n">
        <v>0</v>
      </c>
      <c r="K186" s="3" t="n">
        <v>0</v>
      </c>
      <c r="L186" s="3" t="n">
        <v>0</v>
      </c>
      <c r="M186" s="3" t="n">
        <v>0</v>
      </c>
    </row>
    <row r="187">
      <c r="A187" t="inlineStr">
        <is>
          <t>Match result</t>
        </is>
      </c>
      <c r="C187" s="3" t="n">
        <v>0</v>
      </c>
      <c r="D187" s="3" t="n">
        <v>0</v>
      </c>
      <c r="E187" s="3" t="n">
        <v>0</v>
      </c>
      <c r="G187" s="3" t="n">
        <v>0</v>
      </c>
      <c r="H187" s="3" t="n">
        <v>0</v>
      </c>
      <c r="I187" s="3" t="n">
        <v>0</v>
      </c>
      <c r="K187" s="3" t="n">
        <v>0</v>
      </c>
      <c r="L187" s="3" t="n">
        <v>0</v>
      </c>
      <c r="M187" s="3" t="n">
        <v>0</v>
      </c>
    </row>
    <row r="188">
      <c r="A188" t="inlineStr">
        <is>
          <t>Income</t>
        </is>
      </c>
      <c r="C188" s="3">
        <f>C184*C187*C186-C186</f>
        <v/>
      </c>
      <c r="D188" s="3">
        <f>D184*D187*D186-D186</f>
        <v/>
      </c>
      <c r="E188" s="3">
        <f>E184*E187*E186-E186</f>
        <v/>
      </c>
      <c r="G188" s="3">
        <f>G184*G187*G186-G186</f>
        <v/>
      </c>
      <c r="H188" s="3">
        <f>H184*H187*H186-H186</f>
        <v/>
      </c>
      <c r="I188" s="3">
        <f>I184*I187*I186-I186</f>
        <v/>
      </c>
      <c r="K188" s="3">
        <f>K184*K187*K186-K186</f>
        <v/>
      </c>
      <c r="L188" s="3">
        <f>L184*L187*L186-L186</f>
        <v/>
      </c>
      <c r="M188" s="3">
        <f>M184*M187*M186-M186</f>
        <v/>
      </c>
    </row>
    <row r="190">
      <c r="A190" s="1" t="inlineStr">
        <is>
          <t>Bundesliga</t>
        </is>
      </c>
      <c r="C190" s="1" t="inlineStr">
        <is>
          <t>Win/Draw/Lose</t>
        </is>
      </c>
      <c r="E190" s="1">
        <f> 0+C197+D197+E197 + E181</f>
        <v/>
      </c>
      <c r="G190" s="1" t="inlineStr">
        <is>
          <t>1st half winner</t>
        </is>
      </c>
      <c r="I190" s="1">
        <f> 0+G197+H197+I197 + I181</f>
        <v/>
      </c>
      <c r="K190" s="1" t="inlineStr">
        <is>
          <t>2nd half winner</t>
        </is>
      </c>
      <c r="M190" s="1">
        <f> 0+K197+L197+M197 + M181</f>
        <v/>
      </c>
    </row>
    <row r="191">
      <c r="A191" t="inlineStr">
        <is>
          <t>Eintracht Frankfurt - SC Freiburg</t>
        </is>
      </c>
      <c r="C191" s="2" t="inlineStr">
        <is>
          <t>W1</t>
        </is>
      </c>
      <c r="D191" s="2" t="inlineStr">
        <is>
          <t>X</t>
        </is>
      </c>
      <c r="E191" s="2" t="inlineStr">
        <is>
          <t>W2</t>
        </is>
      </c>
      <c r="G191" s="2" t="inlineStr">
        <is>
          <t>1st half W1</t>
        </is>
      </c>
      <c r="H191" s="2" t="inlineStr">
        <is>
          <t>1st half X</t>
        </is>
      </c>
      <c r="I191" s="2" t="inlineStr">
        <is>
          <t>1st half W2</t>
        </is>
      </c>
      <c r="K191" s="2" t="inlineStr">
        <is>
          <t>2st half W1</t>
        </is>
      </c>
      <c r="L191" s="2" t="inlineStr">
        <is>
          <t>2nd half X</t>
        </is>
      </c>
      <c r="M191" s="2" t="inlineStr">
        <is>
          <t>2nd half W2</t>
        </is>
      </c>
    </row>
    <row r="192">
      <c r="A192" t="inlineStr">
        <is>
          <t>App</t>
        </is>
      </c>
      <c r="C192" s="3" t="n">
        <v>2.299</v>
      </c>
      <c r="D192" s="3" t="n">
        <v>11.813</v>
      </c>
      <c r="E192" s="3" t="n">
        <v>2.081</v>
      </c>
      <c r="G192" s="3" t="n">
        <v>1.545</v>
      </c>
      <c r="H192" s="3" t="n">
        <v>59.602</v>
      </c>
      <c r="I192" s="3" t="n">
        <v>2.973</v>
      </c>
      <c r="K192" s="3" t="n">
        <v>1.728</v>
      </c>
      <c r="L192" s="3" t="n">
        <v>2.853</v>
      </c>
      <c r="M192" s="3" t="n">
        <v>14.091</v>
      </c>
    </row>
    <row r="193">
      <c r="A193" t="inlineStr">
        <is>
          <t>Bookmaker</t>
        </is>
      </c>
      <c r="C193" s="3" t="n">
        <v>0</v>
      </c>
      <c r="D193" s="3" t="n">
        <v>0</v>
      </c>
      <c r="E193" s="3" t="n">
        <v>0</v>
      </c>
      <c r="G193" s="3" t="n">
        <v>0</v>
      </c>
      <c r="H193" s="3" t="n">
        <v>0</v>
      </c>
      <c r="I193" s="3" t="n">
        <v>0</v>
      </c>
      <c r="K193" s="3" t="n">
        <v>0</v>
      </c>
      <c r="L193" s="3" t="n">
        <v>0</v>
      </c>
      <c r="M193" s="3" t="n">
        <v>0</v>
      </c>
    </row>
    <row r="194">
      <c r="A194" t="inlineStr">
        <is>
          <t>Expected payoff</t>
        </is>
      </c>
      <c r="C194" s="3">
        <f>C193/C192</f>
        <v/>
      </c>
      <c r="D194" s="3">
        <f>D193/D192</f>
        <v/>
      </c>
      <c r="E194" s="3">
        <f>E193/E192</f>
        <v/>
      </c>
      <c r="G194" s="3">
        <f>G193/G192</f>
        <v/>
      </c>
      <c r="H194" s="3">
        <f>H193/H192</f>
        <v/>
      </c>
      <c r="I194" s="3">
        <f>I193/I192</f>
        <v/>
      </c>
      <c r="K194" s="3">
        <f>K193/K192</f>
        <v/>
      </c>
      <c r="L194" s="3">
        <f>L193/L192</f>
        <v/>
      </c>
      <c r="M194" s="3">
        <f>M193/M192</f>
        <v/>
      </c>
    </row>
    <row r="195">
      <c r="A195" t="inlineStr">
        <is>
          <t>Bet</t>
        </is>
      </c>
      <c r="C195" s="3" t="n">
        <v>0</v>
      </c>
      <c r="D195" s="3" t="n">
        <v>0</v>
      </c>
      <c r="E195" s="3" t="n">
        <v>0</v>
      </c>
      <c r="G195" s="3" t="n">
        <v>0</v>
      </c>
      <c r="H195" s="3" t="n">
        <v>0</v>
      </c>
      <c r="I195" s="3" t="n">
        <v>0</v>
      </c>
      <c r="K195" s="3" t="n">
        <v>0</v>
      </c>
      <c r="L195" s="3" t="n">
        <v>0</v>
      </c>
      <c r="M195" s="3" t="n">
        <v>0</v>
      </c>
    </row>
    <row r="196">
      <c r="A196" t="inlineStr">
        <is>
          <t>Match result</t>
        </is>
      </c>
      <c r="C196" s="3" t="n">
        <v>0</v>
      </c>
      <c r="D196" s="3" t="n">
        <v>0</v>
      </c>
      <c r="E196" s="3" t="n">
        <v>0</v>
      </c>
      <c r="G196" s="3" t="n">
        <v>0</v>
      </c>
      <c r="H196" s="3" t="n">
        <v>0</v>
      </c>
      <c r="I196" s="3" t="n">
        <v>0</v>
      </c>
      <c r="K196" s="3" t="n">
        <v>0</v>
      </c>
      <c r="L196" s="3" t="n">
        <v>0</v>
      </c>
      <c r="M196" s="3" t="n">
        <v>0</v>
      </c>
    </row>
    <row r="197">
      <c r="A197" t="inlineStr">
        <is>
          <t>Income</t>
        </is>
      </c>
      <c r="C197" s="3">
        <f>C193*C196*C195-C195</f>
        <v/>
      </c>
      <c r="D197" s="3">
        <f>D193*D196*D195-D195</f>
        <v/>
      </c>
      <c r="E197" s="3">
        <f>E193*E196*E195-E195</f>
        <v/>
      </c>
      <c r="G197" s="3">
        <f>G193*G196*G195-G195</f>
        <v/>
      </c>
      <c r="H197" s="3">
        <f>H193*H196*H195-H195</f>
        <v/>
      </c>
      <c r="I197" s="3">
        <f>I193*I196*I195-I195</f>
        <v/>
      </c>
      <c r="K197" s="3">
        <f>K193*K196*K195-K195</f>
        <v/>
      </c>
      <c r="L197" s="3">
        <f>L193*L196*L195-L195</f>
        <v/>
      </c>
      <c r="M197" s="3">
        <f>M193*M196*M195-M195</f>
        <v/>
      </c>
    </row>
    <row r="199">
      <c r="A199" s="1" t="inlineStr">
        <is>
          <t>Bundesliga</t>
        </is>
      </c>
      <c r="C199" s="1" t="inlineStr">
        <is>
          <t>Win/Draw/Lose</t>
        </is>
      </c>
      <c r="E199" s="1">
        <f> 0+C206+D206+E206 + E190</f>
        <v/>
      </c>
      <c r="G199" s="1" t="inlineStr">
        <is>
          <t>1st half winner</t>
        </is>
      </c>
      <c r="I199" s="1">
        <f> 0+G206+H206+I206 + I190</f>
        <v/>
      </c>
      <c r="K199" s="1" t="inlineStr">
        <is>
          <t>2nd half winner</t>
        </is>
      </c>
      <c r="M199" s="1">
        <f> 0+K206+L206+M206 + M190</f>
        <v/>
      </c>
    </row>
    <row r="200">
      <c r="A200" t="inlineStr">
        <is>
          <t>VfL Wolfsburg - Borussia Monchengladbach</t>
        </is>
      </c>
      <c r="C200" s="2" t="inlineStr">
        <is>
          <t>W1</t>
        </is>
      </c>
      <c r="D200" s="2" t="inlineStr">
        <is>
          <t>X</t>
        </is>
      </c>
      <c r="E200" s="2" t="inlineStr">
        <is>
          <t>W2</t>
        </is>
      </c>
      <c r="G200" s="2" t="inlineStr">
        <is>
          <t>1st half W1</t>
        </is>
      </c>
      <c r="H200" s="2" t="inlineStr">
        <is>
          <t>1st half X</t>
        </is>
      </c>
      <c r="I200" s="2" t="inlineStr">
        <is>
          <t>1st half W2</t>
        </is>
      </c>
      <c r="K200" s="2" t="inlineStr">
        <is>
          <t>2st half W1</t>
        </is>
      </c>
      <c r="L200" s="2" t="inlineStr">
        <is>
          <t>2nd half X</t>
        </is>
      </c>
      <c r="M200" s="2" t="inlineStr">
        <is>
          <t>2nd half W2</t>
        </is>
      </c>
    </row>
    <row r="201">
      <c r="A201" t="inlineStr">
        <is>
          <t>App</t>
        </is>
      </c>
      <c r="C201" s="3" t="n">
        <v>1.712</v>
      </c>
      <c r="D201" s="3" t="n">
        <v>124.708</v>
      </c>
      <c r="E201" s="3" t="n">
        <v>2.45</v>
      </c>
      <c r="G201" s="3" t="n">
        <v>1.913</v>
      </c>
      <c r="H201" s="3" t="n">
        <v>2.295</v>
      </c>
      <c r="I201" s="3" t="n">
        <v>23.936</v>
      </c>
      <c r="K201" s="3" t="n">
        <v>4.392</v>
      </c>
      <c r="L201" s="3" t="n">
        <v>1.388</v>
      </c>
      <c r="M201" s="3" t="n">
        <v>19.274</v>
      </c>
    </row>
    <row r="202">
      <c r="A202" t="inlineStr">
        <is>
          <t>Bookmaker</t>
        </is>
      </c>
      <c r="C202" s="3" t="n">
        <v>0</v>
      </c>
      <c r="D202" s="3" t="n">
        <v>0</v>
      </c>
      <c r="E202" s="3" t="n">
        <v>0</v>
      </c>
      <c r="G202" s="3" t="n">
        <v>0</v>
      </c>
      <c r="H202" s="3" t="n">
        <v>0</v>
      </c>
      <c r="I202" s="3" t="n">
        <v>0</v>
      </c>
      <c r="K202" s="3" t="n">
        <v>0</v>
      </c>
      <c r="L202" s="3" t="n">
        <v>0</v>
      </c>
      <c r="M202" s="3" t="n">
        <v>0</v>
      </c>
    </row>
    <row r="203">
      <c r="A203" t="inlineStr">
        <is>
          <t>Expected payoff</t>
        </is>
      </c>
      <c r="C203" s="3">
        <f>C202/C201</f>
        <v/>
      </c>
      <c r="D203" s="3">
        <f>D202/D201</f>
        <v/>
      </c>
      <c r="E203" s="3">
        <f>E202/E201</f>
        <v/>
      </c>
      <c r="G203" s="3">
        <f>G202/G201</f>
        <v/>
      </c>
      <c r="H203" s="3">
        <f>H202/H201</f>
        <v/>
      </c>
      <c r="I203" s="3">
        <f>I202/I201</f>
        <v/>
      </c>
      <c r="K203" s="3">
        <f>K202/K201</f>
        <v/>
      </c>
      <c r="L203" s="3">
        <f>L202/L201</f>
        <v/>
      </c>
      <c r="M203" s="3">
        <f>M202/M201</f>
        <v/>
      </c>
    </row>
    <row r="204">
      <c r="A204" t="inlineStr">
        <is>
          <t>Bet</t>
        </is>
      </c>
      <c r="C204" s="3" t="n">
        <v>0</v>
      </c>
      <c r="D204" s="3" t="n">
        <v>0</v>
      </c>
      <c r="E204" s="3" t="n">
        <v>0</v>
      </c>
      <c r="G204" s="3" t="n">
        <v>0</v>
      </c>
      <c r="H204" s="3" t="n">
        <v>0</v>
      </c>
      <c r="I204" s="3" t="n">
        <v>0</v>
      </c>
      <c r="K204" s="3" t="n">
        <v>0</v>
      </c>
      <c r="L204" s="3" t="n">
        <v>0</v>
      </c>
      <c r="M204" s="3" t="n">
        <v>0</v>
      </c>
    </row>
    <row r="205">
      <c r="A205" t="inlineStr">
        <is>
          <t>Match result</t>
        </is>
      </c>
      <c r="C205" s="3" t="n">
        <v>0</v>
      </c>
      <c r="D205" s="3" t="n">
        <v>0</v>
      </c>
      <c r="E205" s="3" t="n">
        <v>0</v>
      </c>
      <c r="G205" s="3" t="n">
        <v>0</v>
      </c>
      <c r="H205" s="3" t="n">
        <v>0</v>
      </c>
      <c r="I205" s="3" t="n">
        <v>0</v>
      </c>
      <c r="K205" s="3" t="n">
        <v>0</v>
      </c>
      <c r="L205" s="3" t="n">
        <v>0</v>
      </c>
      <c r="M205" s="3" t="n">
        <v>0</v>
      </c>
    </row>
    <row r="206">
      <c r="A206" t="inlineStr">
        <is>
          <t>Income</t>
        </is>
      </c>
      <c r="C206" s="3">
        <f>C202*C205*C204-C204</f>
        <v/>
      </c>
      <c r="D206" s="3">
        <f>D202*D205*D204-D204</f>
        <v/>
      </c>
      <c r="E206" s="3">
        <f>E202*E205*E204-E204</f>
        <v/>
      </c>
      <c r="G206" s="3">
        <f>G202*G205*G204-G204</f>
        <v/>
      </c>
      <c r="H206" s="3">
        <f>H202*H205*H204-H204</f>
        <v/>
      </c>
      <c r="I206" s="3">
        <f>I202*I205*I204-I204</f>
        <v/>
      </c>
      <c r="K206" s="3">
        <f>K202*K205*K204-K204</f>
        <v/>
      </c>
      <c r="L206" s="3">
        <f>L202*L205*L204-L204</f>
        <v/>
      </c>
      <c r="M206" s="3">
        <f>M202*M205*M204-M204</f>
        <v/>
      </c>
    </row>
    <row r="208">
      <c r="A208" s="1" t="inlineStr">
        <is>
          <t>Bundesliga</t>
        </is>
      </c>
      <c r="C208" s="1" t="inlineStr">
        <is>
          <t>Win/Draw/Lose</t>
        </is>
      </c>
      <c r="E208" s="1">
        <f> 0+C215+D215+E215 + E199</f>
        <v/>
      </c>
      <c r="G208" s="1" t="inlineStr">
        <is>
          <t>1st half winner</t>
        </is>
      </c>
      <c r="I208" s="1">
        <f> 0+G215+H215+I215 + I199</f>
        <v/>
      </c>
      <c r="K208" s="1" t="inlineStr">
        <is>
          <t>2nd half winner</t>
        </is>
      </c>
      <c r="M208" s="1">
        <f> 0+K215+L215+M215 + M199</f>
        <v/>
      </c>
    </row>
    <row r="209">
      <c r="A209" t="inlineStr">
        <is>
          <t>Bayer Leverkusen - FSV Mainz 05</t>
        </is>
      </c>
      <c r="C209" s="2" t="inlineStr">
        <is>
          <t>W1</t>
        </is>
      </c>
      <c r="D209" s="2" t="inlineStr">
        <is>
          <t>X</t>
        </is>
      </c>
      <c r="E209" s="2" t="inlineStr">
        <is>
          <t>W2</t>
        </is>
      </c>
      <c r="G209" s="2" t="inlineStr">
        <is>
          <t>1st half W1</t>
        </is>
      </c>
      <c r="H209" s="2" t="inlineStr">
        <is>
          <t>1st half X</t>
        </is>
      </c>
      <c r="I209" s="2" t="inlineStr">
        <is>
          <t>1st half W2</t>
        </is>
      </c>
      <c r="K209" s="2" t="inlineStr">
        <is>
          <t>2st half W1</t>
        </is>
      </c>
      <c r="L209" s="2" t="inlineStr">
        <is>
          <t>2nd half X</t>
        </is>
      </c>
      <c r="M209" s="2" t="inlineStr">
        <is>
          <t>2nd half W2</t>
        </is>
      </c>
    </row>
    <row r="210">
      <c r="A210" t="inlineStr">
        <is>
          <t>App</t>
        </is>
      </c>
      <c r="C210" s="3" t="n">
        <v>1.413</v>
      </c>
      <c r="D210" s="3" t="n">
        <v>44.715</v>
      </c>
      <c r="E210" s="3" t="n">
        <v>3.699</v>
      </c>
      <c r="G210" s="3" t="n">
        <v>2.333</v>
      </c>
      <c r="H210" s="3" t="n">
        <v>3.671</v>
      </c>
      <c r="I210" s="3" t="n">
        <v>3.343</v>
      </c>
      <c r="K210" s="3" t="n">
        <v>3.958</v>
      </c>
      <c r="L210" s="3" t="n">
        <v>2.445</v>
      </c>
      <c r="M210" s="3" t="n">
        <v>2.954</v>
      </c>
    </row>
    <row r="211">
      <c r="A211" t="inlineStr">
        <is>
          <t>Bookmaker</t>
        </is>
      </c>
      <c r="C211" s="3" t="n">
        <v>0</v>
      </c>
      <c r="D211" s="3" t="n">
        <v>0</v>
      </c>
      <c r="E211" s="3" t="n">
        <v>0</v>
      </c>
      <c r="G211" s="3" t="n">
        <v>0</v>
      </c>
      <c r="H211" s="3" t="n">
        <v>0</v>
      </c>
      <c r="I211" s="3" t="n">
        <v>0</v>
      </c>
      <c r="K211" s="3" t="n">
        <v>0</v>
      </c>
      <c r="L211" s="3" t="n">
        <v>0</v>
      </c>
      <c r="M211" s="3" t="n">
        <v>0</v>
      </c>
    </row>
    <row r="212">
      <c r="A212" t="inlineStr">
        <is>
          <t>Expected payoff</t>
        </is>
      </c>
      <c r="C212" s="3">
        <f>C211/C210</f>
        <v/>
      </c>
      <c r="D212" s="3">
        <f>D211/D210</f>
        <v/>
      </c>
      <c r="E212" s="3">
        <f>E211/E210</f>
        <v/>
      </c>
      <c r="G212" s="3">
        <f>G211/G210</f>
        <v/>
      </c>
      <c r="H212" s="3">
        <f>H211/H210</f>
        <v/>
      </c>
      <c r="I212" s="3">
        <f>I211/I210</f>
        <v/>
      </c>
      <c r="K212" s="3">
        <f>K211/K210</f>
        <v/>
      </c>
      <c r="L212" s="3">
        <f>L211/L210</f>
        <v/>
      </c>
      <c r="M212" s="3">
        <f>M211/M210</f>
        <v/>
      </c>
    </row>
    <row r="213">
      <c r="A213" t="inlineStr">
        <is>
          <t>Bet</t>
        </is>
      </c>
      <c r="C213" s="3" t="n">
        <v>0</v>
      </c>
      <c r="D213" s="3" t="n">
        <v>0</v>
      </c>
      <c r="E213" s="3" t="n">
        <v>0</v>
      </c>
      <c r="G213" s="3" t="n">
        <v>0</v>
      </c>
      <c r="H213" s="3" t="n">
        <v>0</v>
      </c>
      <c r="I213" s="3" t="n">
        <v>0</v>
      </c>
      <c r="K213" s="3" t="n">
        <v>0</v>
      </c>
      <c r="L213" s="3" t="n">
        <v>0</v>
      </c>
      <c r="M213" s="3" t="n">
        <v>0</v>
      </c>
    </row>
    <row r="214">
      <c r="A214" t="inlineStr">
        <is>
          <t>Match result</t>
        </is>
      </c>
      <c r="C214" s="3" t="n">
        <v>0</v>
      </c>
      <c r="D214" s="3" t="n">
        <v>0</v>
      </c>
      <c r="E214" s="3" t="n">
        <v>0</v>
      </c>
      <c r="G214" s="3" t="n">
        <v>0</v>
      </c>
      <c r="H214" s="3" t="n">
        <v>0</v>
      </c>
      <c r="I214" s="3" t="n">
        <v>0</v>
      </c>
      <c r="K214" s="3" t="n">
        <v>0</v>
      </c>
      <c r="L214" s="3" t="n">
        <v>0</v>
      </c>
      <c r="M214" s="3" t="n">
        <v>0</v>
      </c>
    </row>
    <row r="215">
      <c r="A215" t="inlineStr">
        <is>
          <t>Income</t>
        </is>
      </c>
      <c r="C215" s="3">
        <f>C211*C214*C213-C213</f>
        <v/>
      </c>
      <c r="D215" s="3">
        <f>D211*D214*D213-D213</f>
        <v/>
      </c>
      <c r="E215" s="3">
        <f>E211*E214*E213-E213</f>
        <v/>
      </c>
      <c r="G215" s="3">
        <f>G211*G214*G213-G213</f>
        <v/>
      </c>
      <c r="H215" s="3">
        <f>H211*H214*H213-H213</f>
        <v/>
      </c>
      <c r="I215" s="3">
        <f>I211*I214*I213-I213</f>
        <v/>
      </c>
      <c r="K215" s="3">
        <f>K211*K214*K213-K213</f>
        <v/>
      </c>
      <c r="L215" s="3">
        <f>L211*L214*L213-L213</f>
        <v/>
      </c>
      <c r="M215" s="3">
        <f>M211*M214*M213-M213</f>
        <v/>
      </c>
    </row>
    <row r="217">
      <c r="A217" s="1" t="inlineStr">
        <is>
          <t>Bundesliga</t>
        </is>
      </c>
      <c r="C217" s="1" t="inlineStr">
        <is>
          <t>Win/Draw/Lose</t>
        </is>
      </c>
      <c r="E217" s="1">
        <f> 0+C224+D224+E224 + E208</f>
        <v/>
      </c>
      <c r="G217" s="1" t="inlineStr">
        <is>
          <t>1st half winner</t>
        </is>
      </c>
      <c r="I217" s="1">
        <f> 0+G224+H224+I224 + I208</f>
        <v/>
      </c>
      <c r="K217" s="1" t="inlineStr">
        <is>
          <t>2nd half winner</t>
        </is>
      </c>
      <c r="M217" s="1">
        <f> 0+K224+L224+M224 + M208</f>
        <v/>
      </c>
    </row>
    <row r="218">
      <c r="A218" t="inlineStr">
        <is>
          <t>Bayern Munich - 1899 Hoffenheim</t>
        </is>
      </c>
      <c r="C218" s="2" t="inlineStr">
        <is>
          <t>W1</t>
        </is>
      </c>
      <c r="D218" s="2" t="inlineStr">
        <is>
          <t>X</t>
        </is>
      </c>
      <c r="E218" s="2" t="inlineStr">
        <is>
          <t>W2</t>
        </is>
      </c>
      <c r="G218" s="2" t="inlineStr">
        <is>
          <t>1st half W1</t>
        </is>
      </c>
      <c r="H218" s="2" t="inlineStr">
        <is>
          <t>1st half X</t>
        </is>
      </c>
      <c r="I218" s="2" t="inlineStr">
        <is>
          <t>1st half W2</t>
        </is>
      </c>
      <c r="K218" s="2" t="inlineStr">
        <is>
          <t>2st half W1</t>
        </is>
      </c>
      <c r="L218" s="2" t="inlineStr">
        <is>
          <t>2nd half X</t>
        </is>
      </c>
      <c r="M218" s="2" t="inlineStr">
        <is>
          <t>2nd half W2</t>
        </is>
      </c>
    </row>
    <row r="219">
      <c r="A219" t="inlineStr">
        <is>
          <t>App</t>
        </is>
      </c>
      <c r="C219" s="3" t="n">
        <v>1.5</v>
      </c>
      <c r="D219" s="3" t="n">
        <v>35.228</v>
      </c>
      <c r="E219" s="3" t="n">
        <v>3.274</v>
      </c>
      <c r="G219" s="3" t="n">
        <v>15.752</v>
      </c>
      <c r="H219" s="3" t="n">
        <v>1.373</v>
      </c>
      <c r="I219" s="3" t="n">
        <v>4.795</v>
      </c>
      <c r="K219" s="3" t="n">
        <v>4.205</v>
      </c>
      <c r="L219" s="3" t="n">
        <v>1.769</v>
      </c>
      <c r="M219" s="3" t="n">
        <v>5.07</v>
      </c>
    </row>
    <row r="220">
      <c r="A220" t="inlineStr">
        <is>
          <t>Bookmaker</t>
        </is>
      </c>
      <c r="C220" s="3" t="n">
        <v>0</v>
      </c>
      <c r="D220" s="3" t="n">
        <v>0</v>
      </c>
      <c r="E220" s="3" t="n">
        <v>0</v>
      </c>
      <c r="G220" s="3" t="n">
        <v>0</v>
      </c>
      <c r="H220" s="3" t="n">
        <v>0</v>
      </c>
      <c r="I220" s="3" t="n">
        <v>0</v>
      </c>
      <c r="K220" s="3" t="n">
        <v>0</v>
      </c>
      <c r="L220" s="3" t="n">
        <v>0</v>
      </c>
      <c r="M220" s="3" t="n">
        <v>0</v>
      </c>
    </row>
    <row r="221">
      <c r="A221" t="inlineStr">
        <is>
          <t>Expected payoff</t>
        </is>
      </c>
      <c r="C221" s="3">
        <f>C220/C219</f>
        <v/>
      </c>
      <c r="D221" s="3">
        <f>D220/D219</f>
        <v/>
      </c>
      <c r="E221" s="3">
        <f>E220/E219</f>
        <v/>
      </c>
      <c r="G221" s="3">
        <f>G220/G219</f>
        <v/>
      </c>
      <c r="H221" s="3">
        <f>H220/H219</f>
        <v/>
      </c>
      <c r="I221" s="3">
        <f>I220/I219</f>
        <v/>
      </c>
      <c r="K221" s="3">
        <f>K220/K219</f>
        <v/>
      </c>
      <c r="L221" s="3">
        <f>L220/L219</f>
        <v/>
      </c>
      <c r="M221" s="3">
        <f>M220/M219</f>
        <v/>
      </c>
    </row>
    <row r="222">
      <c r="A222" t="inlineStr">
        <is>
          <t>Bet</t>
        </is>
      </c>
      <c r="C222" s="3" t="n">
        <v>0</v>
      </c>
      <c r="D222" s="3" t="n">
        <v>0</v>
      </c>
      <c r="E222" s="3" t="n">
        <v>0</v>
      </c>
      <c r="G222" s="3" t="n">
        <v>0</v>
      </c>
      <c r="H222" s="3" t="n">
        <v>0</v>
      </c>
      <c r="I222" s="3" t="n">
        <v>0</v>
      </c>
      <c r="K222" s="3" t="n">
        <v>0</v>
      </c>
      <c r="L222" s="3" t="n">
        <v>0</v>
      </c>
      <c r="M222" s="3" t="n">
        <v>0</v>
      </c>
    </row>
    <row r="223">
      <c r="A223" t="inlineStr">
        <is>
          <t>Match result</t>
        </is>
      </c>
      <c r="C223" s="3" t="n">
        <v>0</v>
      </c>
      <c r="D223" s="3" t="n">
        <v>0</v>
      </c>
      <c r="E223" s="3" t="n">
        <v>0</v>
      </c>
      <c r="G223" s="3" t="n">
        <v>0</v>
      </c>
      <c r="H223" s="3" t="n">
        <v>0</v>
      </c>
      <c r="I223" s="3" t="n">
        <v>0</v>
      </c>
      <c r="K223" s="3" t="n">
        <v>0</v>
      </c>
      <c r="L223" s="3" t="n">
        <v>0</v>
      </c>
      <c r="M223" s="3" t="n">
        <v>0</v>
      </c>
    </row>
    <row r="224">
      <c r="A224" t="inlineStr">
        <is>
          <t>Income</t>
        </is>
      </c>
      <c r="C224" s="3">
        <f>C220*C223*C222-C222</f>
        <v/>
      </c>
      <c r="D224" s="3">
        <f>D220*D223*D222-D222</f>
        <v/>
      </c>
      <c r="E224" s="3">
        <f>E220*E223*E222-E222</f>
        <v/>
      </c>
      <c r="G224" s="3">
        <f>G220*G223*G222-G222</f>
        <v/>
      </c>
      <c r="H224" s="3">
        <f>H220*H223*H222-H222</f>
        <v/>
      </c>
      <c r="I224" s="3">
        <f>I220*I223*I222-I222</f>
        <v/>
      </c>
      <c r="K224" s="3">
        <f>K220*K223*K222-K222</f>
        <v/>
      </c>
      <c r="L224" s="3">
        <f>L220*L223*L222-L222</f>
        <v/>
      </c>
      <c r="M224" s="3">
        <f>M220*M223*M222-M222</f>
        <v/>
      </c>
    </row>
    <row r="226">
      <c r="A226" s="1" t="inlineStr">
        <is>
          <t>Bundesliga</t>
        </is>
      </c>
      <c r="C226" s="1" t="inlineStr">
        <is>
          <t>Win/Draw/Lose</t>
        </is>
      </c>
      <c r="E226" s="1">
        <f> 0+C233+D233+E233 + E217</f>
        <v/>
      </c>
      <c r="G226" s="1" t="inlineStr">
        <is>
          <t>1st half winner</t>
        </is>
      </c>
      <c r="I226" s="1">
        <f> 0+G233+H233+I233 + I217</f>
        <v/>
      </c>
      <c r="K226" s="1" t="inlineStr">
        <is>
          <t>2nd half winner</t>
        </is>
      </c>
      <c r="M226" s="1">
        <f> 0+K233+L233+M233 + M217</f>
        <v/>
      </c>
    </row>
    <row r="227">
      <c r="A227" t="inlineStr">
        <is>
          <t>VfB Stuttgart - RB Leipzig</t>
        </is>
      </c>
      <c r="C227" s="2" t="inlineStr">
        <is>
          <t>W1</t>
        </is>
      </c>
      <c r="D227" s="2" t="inlineStr">
        <is>
          <t>X</t>
        </is>
      </c>
      <c r="E227" s="2" t="inlineStr">
        <is>
          <t>W2</t>
        </is>
      </c>
      <c r="G227" s="2" t="inlineStr">
        <is>
          <t>1st half W1</t>
        </is>
      </c>
      <c r="H227" s="2" t="inlineStr">
        <is>
          <t>1st half X</t>
        </is>
      </c>
      <c r="I227" s="2" t="inlineStr">
        <is>
          <t>1st half W2</t>
        </is>
      </c>
      <c r="K227" s="2" t="inlineStr">
        <is>
          <t>2st half W1</t>
        </is>
      </c>
      <c r="L227" s="2" t="inlineStr">
        <is>
          <t>2nd half X</t>
        </is>
      </c>
      <c r="M227" s="2" t="inlineStr">
        <is>
          <t>2nd half W2</t>
        </is>
      </c>
    </row>
    <row r="228">
      <c r="A228" t="inlineStr">
        <is>
          <t>App</t>
        </is>
      </c>
      <c r="C228" s="3" t="n">
        <v>2.467</v>
      </c>
      <c r="D228" s="3" t="n">
        <v>2.438</v>
      </c>
      <c r="E228" s="3" t="n">
        <v>5.419</v>
      </c>
      <c r="G228" s="3" t="n">
        <v>4.413</v>
      </c>
      <c r="H228" s="3" t="n">
        <v>2.724</v>
      </c>
      <c r="I228" s="3" t="n">
        <v>2.46</v>
      </c>
      <c r="K228" s="3" t="n">
        <v>12.289</v>
      </c>
      <c r="L228" s="3" t="n">
        <v>1.244</v>
      </c>
      <c r="M228" s="3" t="n">
        <v>8.679</v>
      </c>
    </row>
    <row r="229">
      <c r="A229" t="inlineStr">
        <is>
          <t>Bookmaker</t>
        </is>
      </c>
      <c r="C229" s="3" t="n">
        <v>0</v>
      </c>
      <c r="D229" s="3" t="n">
        <v>0</v>
      </c>
      <c r="E229" s="3" t="n">
        <v>0</v>
      </c>
      <c r="G229" s="3" t="n">
        <v>0</v>
      </c>
      <c r="H229" s="3" t="n">
        <v>0</v>
      </c>
      <c r="I229" s="3" t="n">
        <v>0</v>
      </c>
      <c r="K229" s="3" t="n">
        <v>0</v>
      </c>
      <c r="L229" s="3" t="n">
        <v>0</v>
      </c>
      <c r="M229" s="3" t="n">
        <v>0</v>
      </c>
    </row>
    <row r="230">
      <c r="A230" t="inlineStr">
        <is>
          <t>Expected payoff</t>
        </is>
      </c>
      <c r="C230" s="3">
        <f>C229/C228</f>
        <v/>
      </c>
      <c r="D230" s="3">
        <f>D229/D228</f>
        <v/>
      </c>
      <c r="E230" s="3">
        <f>E229/E228</f>
        <v/>
      </c>
      <c r="G230" s="3">
        <f>G229/G228</f>
        <v/>
      </c>
      <c r="H230" s="3">
        <f>H229/H228</f>
        <v/>
      </c>
      <c r="I230" s="3">
        <f>I229/I228</f>
        <v/>
      </c>
      <c r="K230" s="3">
        <f>K229/K228</f>
        <v/>
      </c>
      <c r="L230" s="3">
        <f>L229/L228</f>
        <v/>
      </c>
      <c r="M230" s="3">
        <f>M229/M228</f>
        <v/>
      </c>
    </row>
    <row r="231">
      <c r="A231" t="inlineStr">
        <is>
          <t>Bet</t>
        </is>
      </c>
      <c r="C231" s="3" t="n">
        <v>0</v>
      </c>
      <c r="D231" s="3" t="n">
        <v>0</v>
      </c>
      <c r="E231" s="3" t="n">
        <v>0</v>
      </c>
      <c r="G231" s="3" t="n">
        <v>0</v>
      </c>
      <c r="H231" s="3" t="n">
        <v>0</v>
      </c>
      <c r="I231" s="3" t="n">
        <v>0</v>
      </c>
      <c r="K231" s="3" t="n">
        <v>0</v>
      </c>
      <c r="L231" s="3" t="n">
        <v>0</v>
      </c>
      <c r="M231" s="3" t="n">
        <v>0</v>
      </c>
    </row>
    <row r="232">
      <c r="A232" t="inlineStr">
        <is>
          <t>Match result</t>
        </is>
      </c>
      <c r="C232" s="3" t="n">
        <v>0</v>
      </c>
      <c r="D232" s="3" t="n">
        <v>0</v>
      </c>
      <c r="E232" s="3" t="n">
        <v>0</v>
      </c>
      <c r="G232" s="3" t="n">
        <v>0</v>
      </c>
      <c r="H232" s="3" t="n">
        <v>0</v>
      </c>
      <c r="I232" s="3" t="n">
        <v>0</v>
      </c>
      <c r="K232" s="3" t="n">
        <v>0</v>
      </c>
      <c r="L232" s="3" t="n">
        <v>0</v>
      </c>
      <c r="M232" s="3" t="n">
        <v>0</v>
      </c>
    </row>
    <row r="233">
      <c r="A233" t="inlineStr">
        <is>
          <t>Income</t>
        </is>
      </c>
      <c r="C233" s="3">
        <f>C229*C232*C231-C231</f>
        <v/>
      </c>
      <c r="D233" s="3">
        <f>D229*D232*D231-D231</f>
        <v/>
      </c>
      <c r="E233" s="3">
        <f>E229*E232*E231-E231</f>
        <v/>
      </c>
      <c r="G233" s="3">
        <f>G229*G232*G231-G231</f>
        <v/>
      </c>
      <c r="H233" s="3">
        <f>H229*H232*H231-H231</f>
        <v/>
      </c>
      <c r="I233" s="3">
        <f>I229*I232*I231-I231</f>
        <v/>
      </c>
      <c r="K233" s="3">
        <f>K229*K232*K231-K231</f>
        <v/>
      </c>
      <c r="L233" s="3">
        <f>L229*L232*L231-L231</f>
        <v/>
      </c>
      <c r="M233" s="3">
        <f>M229*M232*M231-M231</f>
        <v/>
      </c>
    </row>
    <row r="235">
      <c r="A235" s="1" t="inlineStr">
        <is>
          <t>Bundesliga</t>
        </is>
      </c>
      <c r="C235" s="1" t="inlineStr">
        <is>
          <t>Win/Draw/Lose</t>
        </is>
      </c>
      <c r="E235" s="1">
        <f> 0+C242+D242+E242 + E226</f>
        <v/>
      </c>
      <c r="G235" s="1" t="inlineStr">
        <is>
          <t>1st half winner</t>
        </is>
      </c>
      <c r="I235" s="1">
        <f> 0+G242+H242+I242 + I226</f>
        <v/>
      </c>
      <c r="K235" s="1" t="inlineStr">
        <is>
          <t>2nd half winner</t>
        </is>
      </c>
      <c r="M235" s="1">
        <f> 0+K242+L242+M242 + M226</f>
        <v/>
      </c>
    </row>
    <row r="236">
      <c r="A236" t="inlineStr">
        <is>
          <t>Union Berlin - FC Augsburg</t>
        </is>
      </c>
      <c r="C236" s="2" t="inlineStr">
        <is>
          <t>W1</t>
        </is>
      </c>
      <c r="D236" s="2" t="inlineStr">
        <is>
          <t>X</t>
        </is>
      </c>
      <c r="E236" s="2" t="inlineStr">
        <is>
          <t>W2</t>
        </is>
      </c>
      <c r="G236" s="2" t="inlineStr">
        <is>
          <t>1st half W1</t>
        </is>
      </c>
      <c r="H236" s="2" t="inlineStr">
        <is>
          <t>1st half X</t>
        </is>
      </c>
      <c r="I236" s="2" t="inlineStr">
        <is>
          <t>1st half W2</t>
        </is>
      </c>
      <c r="K236" s="2" t="inlineStr">
        <is>
          <t>2st half W1</t>
        </is>
      </c>
      <c r="L236" s="2" t="inlineStr">
        <is>
          <t>2nd half X</t>
        </is>
      </c>
      <c r="M236" s="2" t="inlineStr">
        <is>
          <t>2nd half W2</t>
        </is>
      </c>
    </row>
    <row r="237">
      <c r="A237" t="inlineStr">
        <is>
          <t>App</t>
        </is>
      </c>
      <c r="C237" s="3" t="n">
        <v>2.942</v>
      </c>
      <c r="D237" s="3" t="n">
        <v>3.385</v>
      </c>
      <c r="E237" s="3" t="n">
        <v>2.741</v>
      </c>
      <c r="G237" s="3" t="n">
        <v>2.395</v>
      </c>
      <c r="H237" s="3" t="n">
        <v>2.859</v>
      </c>
      <c r="I237" s="3" t="n">
        <v>4.295</v>
      </c>
      <c r="K237" s="3" t="n">
        <v>11.838</v>
      </c>
      <c r="L237" s="3" t="n">
        <v>2.905</v>
      </c>
      <c r="M237" s="3" t="n">
        <v>1.75</v>
      </c>
    </row>
    <row r="238">
      <c r="A238" t="inlineStr">
        <is>
          <t>Bookmaker</t>
        </is>
      </c>
      <c r="C238" s="3" t="n">
        <v>0</v>
      </c>
      <c r="D238" s="3" t="n">
        <v>0</v>
      </c>
      <c r="E238" s="3" t="n">
        <v>0</v>
      </c>
      <c r="G238" s="3" t="n">
        <v>0</v>
      </c>
      <c r="H238" s="3" t="n">
        <v>0</v>
      </c>
      <c r="I238" s="3" t="n">
        <v>0</v>
      </c>
      <c r="K238" s="3" t="n">
        <v>0</v>
      </c>
      <c r="L238" s="3" t="n">
        <v>0</v>
      </c>
      <c r="M238" s="3" t="n">
        <v>0</v>
      </c>
    </row>
    <row r="239">
      <c r="A239" t="inlineStr">
        <is>
          <t>Expected payoff</t>
        </is>
      </c>
      <c r="C239" s="3">
        <f>C238/C237</f>
        <v/>
      </c>
      <c r="D239" s="3">
        <f>D238/D237</f>
        <v/>
      </c>
      <c r="E239" s="3">
        <f>E238/E237</f>
        <v/>
      </c>
      <c r="G239" s="3">
        <f>G238/G237</f>
        <v/>
      </c>
      <c r="H239" s="3">
        <f>H238/H237</f>
        <v/>
      </c>
      <c r="I239" s="3">
        <f>I238/I237</f>
        <v/>
      </c>
      <c r="K239" s="3">
        <f>K238/K237</f>
        <v/>
      </c>
      <c r="L239" s="3">
        <f>L238/L237</f>
        <v/>
      </c>
      <c r="M239" s="3">
        <f>M238/M237</f>
        <v/>
      </c>
    </row>
    <row r="240">
      <c r="A240" t="inlineStr">
        <is>
          <t>Bet</t>
        </is>
      </c>
      <c r="C240" s="3" t="n">
        <v>0</v>
      </c>
      <c r="D240" s="3" t="n">
        <v>0</v>
      </c>
      <c r="E240" s="3" t="n">
        <v>0</v>
      </c>
      <c r="G240" s="3" t="n">
        <v>0</v>
      </c>
      <c r="H240" s="3" t="n">
        <v>0</v>
      </c>
      <c r="I240" s="3" t="n">
        <v>0</v>
      </c>
      <c r="K240" s="3" t="n">
        <v>0</v>
      </c>
      <c r="L240" s="3" t="n">
        <v>0</v>
      </c>
      <c r="M240" s="3" t="n">
        <v>0</v>
      </c>
    </row>
    <row r="241">
      <c r="A241" t="inlineStr">
        <is>
          <t>Match result</t>
        </is>
      </c>
      <c r="C241" s="3" t="n">
        <v>0</v>
      </c>
      <c r="D241" s="3" t="n">
        <v>0</v>
      </c>
      <c r="E241" s="3" t="n">
        <v>0</v>
      </c>
      <c r="G241" s="3" t="n">
        <v>0</v>
      </c>
      <c r="H241" s="3" t="n">
        <v>0</v>
      </c>
      <c r="I241" s="3" t="n">
        <v>0</v>
      </c>
      <c r="K241" s="3" t="n">
        <v>0</v>
      </c>
      <c r="L241" s="3" t="n">
        <v>0</v>
      </c>
      <c r="M241" s="3" t="n">
        <v>0</v>
      </c>
    </row>
    <row r="242">
      <c r="A242" t="inlineStr">
        <is>
          <t>Income</t>
        </is>
      </c>
      <c r="C242" s="3">
        <f>C238*C241*C240-C240</f>
        <v/>
      </c>
      <c r="D242" s="3">
        <f>D238*D241*D240-D240</f>
        <v/>
      </c>
      <c r="E242" s="3">
        <f>E238*E241*E240-E240</f>
        <v/>
      </c>
      <c r="G242" s="3">
        <f>G238*G241*G240-G240</f>
        <v/>
      </c>
      <c r="H242" s="3">
        <f>H238*H241*H240-H240</f>
        <v/>
      </c>
      <c r="I242" s="3">
        <f>I238*I241*I240-I240</f>
        <v/>
      </c>
      <c r="K242" s="3">
        <f>K238*K241*K240-K240</f>
        <v/>
      </c>
      <c r="L242" s="3">
        <f>L238*L241*L240-L240</f>
        <v/>
      </c>
      <c r="M242" s="3">
        <f>M238*M241*M240-M240</f>
        <v/>
      </c>
    </row>
    <row r="244">
      <c r="A244" s="1" t="inlineStr">
        <is>
          <t>Ligue 1</t>
        </is>
      </c>
      <c r="C244" s="1" t="inlineStr">
        <is>
          <t>Win/Draw/Lose</t>
        </is>
      </c>
      <c r="E244" s="1">
        <f> 0+C251+D251+E251 + E235</f>
        <v/>
      </c>
      <c r="G244" s="1" t="inlineStr">
        <is>
          <t>1st half winner</t>
        </is>
      </c>
      <c r="I244" s="1">
        <f> 0+G251+H251+I251 + I235</f>
        <v/>
      </c>
      <c r="K244" s="1" t="inlineStr">
        <is>
          <t>2nd half winner</t>
        </is>
      </c>
      <c r="M244" s="1">
        <f> 0+K251+L251+M251 + M235</f>
        <v/>
      </c>
    </row>
    <row r="245">
      <c r="A245" t="inlineStr">
        <is>
          <t>Montpellier - Monaco</t>
        </is>
      </c>
      <c r="C245" s="2" t="inlineStr">
        <is>
          <t>W1</t>
        </is>
      </c>
      <c r="D245" s="2" t="inlineStr">
        <is>
          <t>X</t>
        </is>
      </c>
      <c r="E245" s="2" t="inlineStr">
        <is>
          <t>W2</t>
        </is>
      </c>
      <c r="G245" s="2" t="inlineStr">
        <is>
          <t>1st half W1</t>
        </is>
      </c>
      <c r="H245" s="2" t="inlineStr">
        <is>
          <t>1st half X</t>
        </is>
      </c>
      <c r="I245" s="2" t="inlineStr">
        <is>
          <t>1st half W2</t>
        </is>
      </c>
      <c r="K245" s="2" t="inlineStr">
        <is>
          <t>2st half W1</t>
        </is>
      </c>
      <c r="L245" s="2" t="inlineStr">
        <is>
          <t>2nd half X</t>
        </is>
      </c>
      <c r="M245" s="2" t="inlineStr">
        <is>
          <t>2nd half W2</t>
        </is>
      </c>
    </row>
    <row r="246">
      <c r="A246" t="inlineStr">
        <is>
          <t>App</t>
        </is>
      </c>
      <c r="C246" s="3" t="n">
        <v>7.853</v>
      </c>
      <c r="D246" s="3" t="n">
        <v>3.649</v>
      </c>
      <c r="E246" s="3" t="n">
        <v>1.67</v>
      </c>
      <c r="G246" s="3" t="n">
        <v>5.277</v>
      </c>
      <c r="H246" s="3" t="n">
        <v>2.11</v>
      </c>
      <c r="I246" s="3" t="n">
        <v>2.97</v>
      </c>
      <c r="K246" s="3" t="n">
        <v>5.062</v>
      </c>
      <c r="L246" s="3" t="n">
        <v>2.064</v>
      </c>
      <c r="M246" s="3" t="n">
        <v>3.143</v>
      </c>
    </row>
    <row r="247">
      <c r="A247" t="inlineStr">
        <is>
          <t>Bookmaker</t>
        </is>
      </c>
      <c r="C247" s="3" t="n">
        <v>0</v>
      </c>
      <c r="D247" s="3" t="n">
        <v>0</v>
      </c>
      <c r="E247" s="3" t="n">
        <v>0</v>
      </c>
      <c r="G247" s="3" t="n">
        <v>0</v>
      </c>
      <c r="H247" s="3" t="n">
        <v>0</v>
      </c>
      <c r="I247" s="3" t="n">
        <v>0</v>
      </c>
      <c r="K247" s="3" t="n">
        <v>0</v>
      </c>
      <c r="L247" s="3" t="n">
        <v>0</v>
      </c>
      <c r="M247" s="3" t="n">
        <v>0</v>
      </c>
    </row>
    <row r="248">
      <c r="A248" t="inlineStr">
        <is>
          <t>Expected payoff</t>
        </is>
      </c>
      <c r="C248" s="3">
        <f>C247/C246</f>
        <v/>
      </c>
      <c r="D248" s="3">
        <f>D247/D246</f>
        <v/>
      </c>
      <c r="E248" s="3">
        <f>E247/E246</f>
        <v/>
      </c>
      <c r="G248" s="3">
        <f>G247/G246</f>
        <v/>
      </c>
      <c r="H248" s="3">
        <f>H247/H246</f>
        <v/>
      </c>
      <c r="I248" s="3">
        <f>I247/I246</f>
        <v/>
      </c>
      <c r="K248" s="3">
        <f>K247/K246</f>
        <v/>
      </c>
      <c r="L248" s="3">
        <f>L247/L246</f>
        <v/>
      </c>
      <c r="M248" s="3">
        <f>M247/M246</f>
        <v/>
      </c>
    </row>
    <row r="249">
      <c r="A249" t="inlineStr">
        <is>
          <t>Bet</t>
        </is>
      </c>
      <c r="C249" s="3" t="n">
        <v>0</v>
      </c>
      <c r="D249" s="3" t="n">
        <v>0</v>
      </c>
      <c r="E249" s="3" t="n">
        <v>0</v>
      </c>
      <c r="G249" s="3" t="n">
        <v>0</v>
      </c>
      <c r="H249" s="3" t="n">
        <v>0</v>
      </c>
      <c r="I249" s="3" t="n">
        <v>0</v>
      </c>
      <c r="K249" s="3" t="n">
        <v>0</v>
      </c>
      <c r="L249" s="3" t="n">
        <v>0</v>
      </c>
      <c r="M249" s="3" t="n">
        <v>0</v>
      </c>
    </row>
    <row r="250">
      <c r="A250" t="inlineStr">
        <is>
          <t>Match result</t>
        </is>
      </c>
      <c r="C250" s="3" t="n">
        <v>0</v>
      </c>
      <c r="D250" s="3" t="n">
        <v>0</v>
      </c>
      <c r="E250" s="3" t="n">
        <v>0</v>
      </c>
      <c r="G250" s="3" t="n">
        <v>0</v>
      </c>
      <c r="H250" s="3" t="n">
        <v>0</v>
      </c>
      <c r="I250" s="3" t="n">
        <v>0</v>
      </c>
      <c r="K250" s="3" t="n">
        <v>0</v>
      </c>
      <c r="L250" s="3" t="n">
        <v>0</v>
      </c>
      <c r="M250" s="3" t="n">
        <v>0</v>
      </c>
    </row>
    <row r="251">
      <c r="A251" t="inlineStr">
        <is>
          <t>Income</t>
        </is>
      </c>
      <c r="C251" s="3">
        <f>C247*C250*C249-C249</f>
        <v/>
      </c>
      <c r="D251" s="3">
        <f>D247*D250*D249-D249</f>
        <v/>
      </c>
      <c r="E251" s="3">
        <f>E247*E250*E249-E249</f>
        <v/>
      </c>
      <c r="G251" s="3">
        <f>G247*G250*G249-G249</f>
        <v/>
      </c>
      <c r="H251" s="3">
        <f>H247*H250*H249-H249</f>
        <v/>
      </c>
      <c r="I251" s="3">
        <f>I247*I250*I249-I249</f>
        <v/>
      </c>
      <c r="K251" s="3">
        <f>K247*K250*K249-K249</f>
        <v/>
      </c>
      <c r="L251" s="3">
        <f>L247*L250*L249-L249</f>
        <v/>
      </c>
      <c r="M251" s="3">
        <f>M247*M250*M249-M249</f>
        <v/>
      </c>
    </row>
    <row r="253">
      <c r="A253" s="1" t="inlineStr">
        <is>
          <t>Ligue 1</t>
        </is>
      </c>
      <c r="C253" s="1" t="inlineStr">
        <is>
          <t>Win/Draw/Lose</t>
        </is>
      </c>
      <c r="E253" s="1">
        <f> 0+C260+D260+E260 + E244</f>
        <v/>
      </c>
      <c r="G253" s="1" t="inlineStr">
        <is>
          <t>1st half winner</t>
        </is>
      </c>
      <c r="I253" s="1">
        <f> 0+G260+H260+I260 + I244</f>
        <v/>
      </c>
      <c r="K253" s="1" t="inlineStr">
        <is>
          <t>2nd half winner</t>
        </is>
      </c>
      <c r="M253" s="1">
        <f> 0+K260+L260+M260 + M244</f>
        <v/>
      </c>
    </row>
    <row r="254">
      <c r="A254" t="inlineStr">
        <is>
          <t>Lille - Nice</t>
        </is>
      </c>
      <c r="C254" s="2" t="inlineStr">
        <is>
          <t>W1</t>
        </is>
      </c>
      <c r="D254" s="2" t="inlineStr">
        <is>
          <t>X</t>
        </is>
      </c>
      <c r="E254" s="2" t="inlineStr">
        <is>
          <t>W2</t>
        </is>
      </c>
      <c r="G254" s="2" t="inlineStr">
        <is>
          <t>1st half W1</t>
        </is>
      </c>
      <c r="H254" s="2" t="inlineStr">
        <is>
          <t>1st half X</t>
        </is>
      </c>
      <c r="I254" s="2" t="inlineStr">
        <is>
          <t>1st half W2</t>
        </is>
      </c>
      <c r="K254" s="2" t="inlineStr">
        <is>
          <t>2st half W1</t>
        </is>
      </c>
      <c r="L254" s="2" t="inlineStr">
        <is>
          <t>2nd half X</t>
        </is>
      </c>
      <c r="M254" s="2" t="inlineStr">
        <is>
          <t>2nd half W2</t>
        </is>
      </c>
    </row>
    <row r="255">
      <c r="A255" t="inlineStr">
        <is>
          <t>App</t>
        </is>
      </c>
      <c r="C255" s="3" t="n">
        <v>1.308</v>
      </c>
      <c r="D255" s="3" t="n">
        <v>5.986</v>
      </c>
      <c r="E255" s="3" t="n">
        <v>14.588</v>
      </c>
      <c r="G255" s="3" t="n">
        <v>2.038</v>
      </c>
      <c r="H255" s="3" t="n">
        <v>3.451</v>
      </c>
      <c r="I255" s="3" t="n">
        <v>4.551</v>
      </c>
      <c r="K255" s="3" t="n">
        <v>2.088</v>
      </c>
      <c r="L255" s="3" t="n">
        <v>1.967</v>
      </c>
      <c r="M255" s="3" t="n">
        <v>77.614</v>
      </c>
    </row>
    <row r="256">
      <c r="A256" t="inlineStr">
        <is>
          <t>Bookmaker</t>
        </is>
      </c>
      <c r="C256" s="3" t="n">
        <v>0</v>
      </c>
      <c r="D256" s="3" t="n">
        <v>0</v>
      </c>
      <c r="E256" s="3" t="n">
        <v>0</v>
      </c>
      <c r="G256" s="3" t="n">
        <v>0</v>
      </c>
      <c r="H256" s="3" t="n">
        <v>0</v>
      </c>
      <c r="I256" s="3" t="n">
        <v>0</v>
      </c>
      <c r="K256" s="3" t="n">
        <v>0</v>
      </c>
      <c r="L256" s="3" t="n">
        <v>0</v>
      </c>
      <c r="M256" s="3" t="n">
        <v>0</v>
      </c>
    </row>
    <row r="257">
      <c r="A257" t="inlineStr">
        <is>
          <t>Expected payoff</t>
        </is>
      </c>
      <c r="C257" s="3">
        <f>C256/C255</f>
        <v/>
      </c>
      <c r="D257" s="3">
        <f>D256/D255</f>
        <v/>
      </c>
      <c r="E257" s="3">
        <f>E256/E255</f>
        <v/>
      </c>
      <c r="G257" s="3">
        <f>G256/G255</f>
        <v/>
      </c>
      <c r="H257" s="3">
        <f>H256/H255</f>
        <v/>
      </c>
      <c r="I257" s="3">
        <f>I256/I255</f>
        <v/>
      </c>
      <c r="K257" s="3">
        <f>K256/K255</f>
        <v/>
      </c>
      <c r="L257" s="3">
        <f>L256/L255</f>
        <v/>
      </c>
      <c r="M257" s="3">
        <f>M256/M255</f>
        <v/>
      </c>
    </row>
    <row r="258">
      <c r="A258" t="inlineStr">
        <is>
          <t>Bet</t>
        </is>
      </c>
      <c r="C258" s="3" t="n">
        <v>0</v>
      </c>
      <c r="D258" s="3" t="n">
        <v>0</v>
      </c>
      <c r="E258" s="3" t="n">
        <v>0</v>
      </c>
      <c r="G258" s="3" t="n">
        <v>0</v>
      </c>
      <c r="H258" s="3" t="n">
        <v>0</v>
      </c>
      <c r="I258" s="3" t="n">
        <v>0</v>
      </c>
      <c r="K258" s="3" t="n">
        <v>0</v>
      </c>
      <c r="L258" s="3" t="n">
        <v>0</v>
      </c>
      <c r="M258" s="3" t="n">
        <v>0</v>
      </c>
    </row>
    <row r="259">
      <c r="A259" t="inlineStr">
        <is>
          <t>Match result</t>
        </is>
      </c>
      <c r="C259" s="3" t="n">
        <v>0</v>
      </c>
      <c r="D259" s="3" t="n">
        <v>0</v>
      </c>
      <c r="E259" s="3" t="n">
        <v>0</v>
      </c>
      <c r="G259" s="3" t="n">
        <v>0</v>
      </c>
      <c r="H259" s="3" t="n">
        <v>0</v>
      </c>
      <c r="I259" s="3" t="n">
        <v>0</v>
      </c>
      <c r="K259" s="3" t="n">
        <v>0</v>
      </c>
      <c r="L259" s="3" t="n">
        <v>0</v>
      </c>
      <c r="M259" s="3" t="n">
        <v>0</v>
      </c>
    </row>
    <row r="260">
      <c r="A260" t="inlineStr">
        <is>
          <t>Income</t>
        </is>
      </c>
      <c r="C260" s="3">
        <f>C256*C259*C258-C258</f>
        <v/>
      </c>
      <c r="D260" s="3">
        <f>D256*D259*D258-D258</f>
        <v/>
      </c>
      <c r="E260" s="3">
        <f>E256*E259*E258-E258</f>
        <v/>
      </c>
      <c r="G260" s="3">
        <f>G256*G259*G258-G258</f>
        <v/>
      </c>
      <c r="H260" s="3">
        <f>H256*H259*H258-H258</f>
        <v/>
      </c>
      <c r="I260" s="3">
        <f>I256*I259*I258-I258</f>
        <v/>
      </c>
      <c r="K260" s="3">
        <f>K256*K259*K258-K258</f>
        <v/>
      </c>
      <c r="L260" s="3">
        <f>L256*L259*L258-L258</f>
        <v/>
      </c>
      <c r="M260" s="3">
        <f>M256*M259*M258-M258</f>
        <v/>
      </c>
    </row>
    <row r="262">
      <c r="A262" s="1" t="inlineStr">
        <is>
          <t>Ligue 1</t>
        </is>
      </c>
      <c r="C262" s="1" t="inlineStr">
        <is>
          <t>Win/Draw/Lose</t>
        </is>
      </c>
      <c r="E262" s="1">
        <f> 0+C269+D269+E269 + E253</f>
        <v/>
      </c>
      <c r="G262" s="1" t="inlineStr">
        <is>
          <t>1st half winner</t>
        </is>
      </c>
      <c r="I262" s="1">
        <f> 0+G269+H269+I269 + I253</f>
        <v/>
      </c>
      <c r="K262" s="1" t="inlineStr">
        <is>
          <t>2nd half winner</t>
        </is>
      </c>
      <c r="M262" s="1">
        <f> 0+K269+L269+M269 + M253</f>
        <v/>
      </c>
    </row>
    <row r="263">
      <c r="A263" t="inlineStr">
        <is>
          <t>Lens - Paris Saint Germain</t>
        </is>
      </c>
      <c r="C263" s="2" t="inlineStr">
        <is>
          <t>W1</t>
        </is>
      </c>
      <c r="D263" s="2" t="inlineStr">
        <is>
          <t>X</t>
        </is>
      </c>
      <c r="E263" s="2" t="inlineStr">
        <is>
          <t>W2</t>
        </is>
      </c>
      <c r="G263" s="2" t="inlineStr">
        <is>
          <t>1st half W1</t>
        </is>
      </c>
      <c r="H263" s="2" t="inlineStr">
        <is>
          <t>1st half X</t>
        </is>
      </c>
      <c r="I263" s="2" t="inlineStr">
        <is>
          <t>1st half W2</t>
        </is>
      </c>
      <c r="K263" s="2" t="inlineStr">
        <is>
          <t>2st half W1</t>
        </is>
      </c>
      <c r="L263" s="2" t="inlineStr">
        <is>
          <t>2nd half X</t>
        </is>
      </c>
      <c r="M263" s="2" t="inlineStr">
        <is>
          <t>2nd half W2</t>
        </is>
      </c>
    </row>
    <row r="264">
      <c r="A264" t="inlineStr">
        <is>
          <t>App</t>
        </is>
      </c>
      <c r="C264" s="3" t="n">
        <v>84.62</v>
      </c>
      <c r="D264" s="3" t="n">
        <v>1.662</v>
      </c>
      <c r="E264" s="3" t="n">
        <v>2.587</v>
      </c>
      <c r="G264" s="3" t="n">
        <v>17.79</v>
      </c>
      <c r="H264" s="3" t="n">
        <v>1.143</v>
      </c>
      <c r="I264" s="3" t="n">
        <v>14.39</v>
      </c>
      <c r="K264" s="3" t="n">
        <v>1.811</v>
      </c>
      <c r="L264" s="3" t="n">
        <v>2.283</v>
      </c>
      <c r="M264" s="3" t="n">
        <v>98.732</v>
      </c>
    </row>
    <row r="265">
      <c r="A265" t="inlineStr">
        <is>
          <t>Bookmaker</t>
        </is>
      </c>
      <c r="C265" s="3" t="n">
        <v>0</v>
      </c>
      <c r="D265" s="3" t="n">
        <v>0</v>
      </c>
      <c r="E265" s="3" t="n">
        <v>0</v>
      </c>
      <c r="G265" s="3" t="n">
        <v>0</v>
      </c>
      <c r="H265" s="3" t="n">
        <v>0</v>
      </c>
      <c r="I265" s="3" t="n">
        <v>0</v>
      </c>
      <c r="K265" s="3" t="n">
        <v>0</v>
      </c>
      <c r="L265" s="3" t="n">
        <v>0</v>
      </c>
      <c r="M265" s="3" t="n">
        <v>0</v>
      </c>
    </row>
    <row r="266">
      <c r="A266" t="inlineStr">
        <is>
          <t>Expected payoff</t>
        </is>
      </c>
      <c r="C266" s="3">
        <f>C265/C264</f>
        <v/>
      </c>
      <c r="D266" s="3">
        <f>D265/D264</f>
        <v/>
      </c>
      <c r="E266" s="3">
        <f>E265/E264</f>
        <v/>
      </c>
      <c r="G266" s="3">
        <f>G265/G264</f>
        <v/>
      </c>
      <c r="H266" s="3">
        <f>H265/H264</f>
        <v/>
      </c>
      <c r="I266" s="3">
        <f>I265/I264</f>
        <v/>
      </c>
      <c r="K266" s="3">
        <f>K265/K264</f>
        <v/>
      </c>
      <c r="L266" s="3">
        <f>L265/L264</f>
        <v/>
      </c>
      <c r="M266" s="3">
        <f>M265/M264</f>
        <v/>
      </c>
    </row>
    <row r="267">
      <c r="A267" t="inlineStr">
        <is>
          <t>Bet</t>
        </is>
      </c>
      <c r="C267" s="3" t="n">
        <v>0</v>
      </c>
      <c r="D267" s="3" t="n">
        <v>0</v>
      </c>
      <c r="E267" s="3" t="n">
        <v>0</v>
      </c>
      <c r="G267" s="3" t="n">
        <v>0</v>
      </c>
      <c r="H267" s="3" t="n">
        <v>0</v>
      </c>
      <c r="I267" s="3" t="n">
        <v>0</v>
      </c>
      <c r="K267" s="3" t="n">
        <v>0</v>
      </c>
      <c r="L267" s="3" t="n">
        <v>0</v>
      </c>
      <c r="M267" s="3" t="n">
        <v>0</v>
      </c>
    </row>
    <row r="268">
      <c r="A268" t="inlineStr">
        <is>
          <t>Match result</t>
        </is>
      </c>
      <c r="C268" s="3" t="n">
        <v>0</v>
      </c>
      <c r="D268" s="3" t="n">
        <v>0</v>
      </c>
      <c r="E268" s="3" t="n">
        <v>0</v>
      </c>
      <c r="G268" s="3" t="n">
        <v>0</v>
      </c>
      <c r="H268" s="3" t="n">
        <v>0</v>
      </c>
      <c r="I268" s="3" t="n">
        <v>0</v>
      </c>
      <c r="K268" s="3" t="n">
        <v>0</v>
      </c>
      <c r="L268" s="3" t="n">
        <v>0</v>
      </c>
      <c r="M268" s="3" t="n">
        <v>0</v>
      </c>
    </row>
    <row r="269">
      <c r="A269" t="inlineStr">
        <is>
          <t>Income</t>
        </is>
      </c>
      <c r="C269" s="3">
        <f>C265*C268*C267-C267</f>
        <v/>
      </c>
      <c r="D269" s="3">
        <f>D265*D268*D267-D267</f>
        <v/>
      </c>
      <c r="E269" s="3">
        <f>E265*E268*E267-E267</f>
        <v/>
      </c>
      <c r="G269" s="3">
        <f>G265*G268*G267-G267</f>
        <v/>
      </c>
      <c r="H269" s="3">
        <f>H265*H268*H267-H267</f>
        <v/>
      </c>
      <c r="I269" s="3">
        <f>I265*I268*I267-I267</f>
        <v/>
      </c>
      <c r="K269" s="3">
        <f>K265*K268*K267-K267</f>
        <v/>
      </c>
      <c r="L269" s="3">
        <f>L265*L268*L267-L267</f>
        <v/>
      </c>
      <c r="M269" s="3">
        <f>M265*M268*M267-M267</f>
        <v/>
      </c>
    </row>
    <row r="271">
      <c r="A271" s="1" t="inlineStr">
        <is>
          <t>Ligue 1</t>
        </is>
      </c>
      <c r="C271" s="1" t="inlineStr">
        <is>
          <t>Win/Draw/Lose</t>
        </is>
      </c>
      <c r="E271" s="1">
        <f> 0+C278+D278+E278 + E262</f>
        <v/>
      </c>
      <c r="G271" s="1" t="inlineStr">
        <is>
          <t>1st half winner</t>
        </is>
      </c>
      <c r="I271" s="1">
        <f> 0+G278+H278+I278 + I262</f>
        <v/>
      </c>
      <c r="K271" s="1" t="inlineStr">
        <is>
          <t>2nd half winner</t>
        </is>
      </c>
      <c r="M271" s="1">
        <f> 0+K278+L278+M278 + M262</f>
        <v/>
      </c>
    </row>
    <row r="272">
      <c r="A272" t="inlineStr">
        <is>
          <t>Rennes - Stade Brestois 29</t>
        </is>
      </c>
      <c r="C272" s="2" t="inlineStr">
        <is>
          <t>W1</t>
        </is>
      </c>
      <c r="D272" s="2" t="inlineStr">
        <is>
          <t>X</t>
        </is>
      </c>
      <c r="E272" s="2" t="inlineStr">
        <is>
          <t>W2</t>
        </is>
      </c>
      <c r="G272" s="2" t="inlineStr">
        <is>
          <t>1st half W1</t>
        </is>
      </c>
      <c r="H272" s="2" t="inlineStr">
        <is>
          <t>1st half X</t>
        </is>
      </c>
      <c r="I272" s="2" t="inlineStr">
        <is>
          <t>1st half W2</t>
        </is>
      </c>
      <c r="K272" s="2" t="inlineStr">
        <is>
          <t>2st half W1</t>
        </is>
      </c>
      <c r="L272" s="2" t="inlineStr">
        <is>
          <t>2nd half X</t>
        </is>
      </c>
      <c r="M272" s="2" t="inlineStr">
        <is>
          <t>2nd half W2</t>
        </is>
      </c>
    </row>
    <row r="273">
      <c r="A273" t="inlineStr">
        <is>
          <t>App</t>
        </is>
      </c>
      <c r="C273" s="3" t="n">
        <v>2.382</v>
      </c>
      <c r="D273" s="3" t="n">
        <v>7.403</v>
      </c>
      <c r="E273" s="3" t="n">
        <v>2.246</v>
      </c>
      <c r="G273" s="3" t="n">
        <v>3.896</v>
      </c>
      <c r="H273" s="3" t="n">
        <v>1.623</v>
      </c>
      <c r="I273" s="3" t="n">
        <v>7.857</v>
      </c>
      <c r="K273" s="3" t="n">
        <v>3.278</v>
      </c>
      <c r="L273" s="3" t="n">
        <v>3.317</v>
      </c>
      <c r="M273" s="3" t="n">
        <v>2.54</v>
      </c>
    </row>
    <row r="274">
      <c r="A274" t="inlineStr">
        <is>
          <t>Bookmaker</t>
        </is>
      </c>
      <c r="C274" s="3" t="n">
        <v>0</v>
      </c>
      <c r="D274" s="3" t="n">
        <v>0</v>
      </c>
      <c r="E274" s="3" t="n">
        <v>0</v>
      </c>
      <c r="G274" s="3" t="n">
        <v>0</v>
      </c>
      <c r="H274" s="3" t="n">
        <v>0</v>
      </c>
      <c r="I274" s="3" t="n">
        <v>0</v>
      </c>
      <c r="K274" s="3" t="n">
        <v>0</v>
      </c>
      <c r="L274" s="3" t="n">
        <v>0</v>
      </c>
      <c r="M274" s="3" t="n">
        <v>0</v>
      </c>
    </row>
    <row r="275">
      <c r="A275" t="inlineStr">
        <is>
          <t>Expected payoff</t>
        </is>
      </c>
      <c r="C275" s="3">
        <f>C274/C273</f>
        <v/>
      </c>
      <c r="D275" s="3">
        <f>D274/D273</f>
        <v/>
      </c>
      <c r="E275" s="3">
        <f>E274/E273</f>
        <v/>
      </c>
      <c r="G275" s="3">
        <f>G274/G273</f>
        <v/>
      </c>
      <c r="H275" s="3">
        <f>H274/H273</f>
        <v/>
      </c>
      <c r="I275" s="3">
        <f>I274/I273</f>
        <v/>
      </c>
      <c r="K275" s="3">
        <f>K274/K273</f>
        <v/>
      </c>
      <c r="L275" s="3">
        <f>L274/L273</f>
        <v/>
      </c>
      <c r="M275" s="3">
        <f>M274/M273</f>
        <v/>
      </c>
    </row>
    <row r="276">
      <c r="A276" t="inlineStr">
        <is>
          <t>Bet</t>
        </is>
      </c>
      <c r="C276" s="3" t="n">
        <v>0</v>
      </c>
      <c r="D276" s="3" t="n">
        <v>0</v>
      </c>
      <c r="E276" s="3" t="n">
        <v>0</v>
      </c>
      <c r="G276" s="3" t="n">
        <v>0</v>
      </c>
      <c r="H276" s="3" t="n">
        <v>0</v>
      </c>
      <c r="I276" s="3" t="n">
        <v>0</v>
      </c>
      <c r="K276" s="3" t="n">
        <v>0</v>
      </c>
      <c r="L276" s="3" t="n">
        <v>0</v>
      </c>
      <c r="M276" s="3" t="n">
        <v>0</v>
      </c>
    </row>
    <row r="277">
      <c r="A277" t="inlineStr">
        <is>
          <t>Match result</t>
        </is>
      </c>
      <c r="C277" s="3" t="n">
        <v>0</v>
      </c>
      <c r="D277" s="3" t="n">
        <v>0</v>
      </c>
      <c r="E277" s="3" t="n">
        <v>0</v>
      </c>
      <c r="G277" s="3" t="n">
        <v>0</v>
      </c>
      <c r="H277" s="3" t="n">
        <v>0</v>
      </c>
      <c r="I277" s="3" t="n">
        <v>0</v>
      </c>
      <c r="K277" s="3" t="n">
        <v>0</v>
      </c>
      <c r="L277" s="3" t="n">
        <v>0</v>
      </c>
      <c r="M277" s="3" t="n">
        <v>0</v>
      </c>
    </row>
    <row r="278">
      <c r="A278" t="inlineStr">
        <is>
          <t>Income</t>
        </is>
      </c>
      <c r="C278" s="3">
        <f>C274*C277*C276-C276</f>
        <v/>
      </c>
      <c r="D278" s="3">
        <f>D274*D277*D276-D276</f>
        <v/>
      </c>
      <c r="E278" s="3">
        <f>E274*E277*E276-E276</f>
        <v/>
      </c>
      <c r="G278" s="3">
        <f>G274*G277*G276-G276</f>
        <v/>
      </c>
      <c r="H278" s="3">
        <f>H274*H277*H276-H276</f>
        <v/>
      </c>
      <c r="I278" s="3">
        <f>I274*I277*I276-I276</f>
        <v/>
      </c>
      <c r="K278" s="3">
        <f>K274*K277*K276-K276</f>
        <v/>
      </c>
      <c r="L278" s="3">
        <f>L274*L277*L276-L276</f>
        <v/>
      </c>
      <c r="M278" s="3">
        <f>M274*M277*M276-M276</f>
        <v/>
      </c>
    </row>
    <row r="280">
      <c r="A280" s="1" t="inlineStr">
        <is>
          <t>Ligue 1</t>
        </is>
      </c>
      <c r="C280" s="1" t="inlineStr">
        <is>
          <t>Win/Draw/Lose</t>
        </is>
      </c>
      <c r="E280" s="1">
        <f> 0+C287+D287+E287 + E271</f>
        <v/>
      </c>
      <c r="G280" s="1" t="inlineStr">
        <is>
          <t>1st half winner</t>
        </is>
      </c>
      <c r="I280" s="1">
        <f> 0+G287+H287+I287 + I271</f>
        <v/>
      </c>
      <c r="K280" s="1" t="inlineStr">
        <is>
          <t>2nd half winner</t>
        </is>
      </c>
      <c r="M280" s="1">
        <f> 0+K287+L287+M287 + M271</f>
        <v/>
      </c>
    </row>
    <row r="281">
      <c r="A281" t="inlineStr">
        <is>
          <t>Lyon - Toulouse</t>
        </is>
      </c>
      <c r="C281" s="2" t="inlineStr">
        <is>
          <t>W1</t>
        </is>
      </c>
      <c r="D281" s="2" t="inlineStr">
        <is>
          <t>X</t>
        </is>
      </c>
      <c r="E281" s="2" t="inlineStr">
        <is>
          <t>W2</t>
        </is>
      </c>
      <c r="G281" s="2" t="inlineStr">
        <is>
          <t>1st half W1</t>
        </is>
      </c>
      <c r="H281" s="2" t="inlineStr">
        <is>
          <t>1st half X</t>
        </is>
      </c>
      <c r="I281" s="2" t="inlineStr">
        <is>
          <t>1st half W2</t>
        </is>
      </c>
      <c r="K281" s="2" t="inlineStr">
        <is>
          <t>2st half W1</t>
        </is>
      </c>
      <c r="L281" s="2" t="inlineStr">
        <is>
          <t>2nd half X</t>
        </is>
      </c>
      <c r="M281" s="2" t="inlineStr">
        <is>
          <t>2nd half W2</t>
        </is>
      </c>
    </row>
    <row r="282">
      <c r="A282" t="inlineStr">
        <is>
          <t>App</t>
        </is>
      </c>
      <c r="C282" s="3" t="n">
        <v>6.949</v>
      </c>
      <c r="D282" s="3" t="n">
        <v>2.76</v>
      </c>
      <c r="E282" s="3" t="n">
        <v>2.024</v>
      </c>
      <c r="G282" s="3" t="n">
        <v>8.786</v>
      </c>
      <c r="H282" s="3" t="n">
        <v>6.684</v>
      </c>
      <c r="I282" s="3" t="n">
        <v>1.357</v>
      </c>
      <c r="K282" s="3" t="n">
        <v>19.921</v>
      </c>
      <c r="L282" s="3" t="n">
        <v>1.14</v>
      </c>
      <c r="M282" s="3" t="n">
        <v>13.662</v>
      </c>
    </row>
    <row r="283">
      <c r="A283" t="inlineStr">
        <is>
          <t>Bookmaker</t>
        </is>
      </c>
      <c r="C283" s="3" t="n">
        <v>0</v>
      </c>
      <c r="D283" s="3" t="n">
        <v>0</v>
      </c>
      <c r="E283" s="3" t="n">
        <v>0</v>
      </c>
      <c r="G283" s="3" t="n">
        <v>0</v>
      </c>
      <c r="H283" s="3" t="n">
        <v>0</v>
      </c>
      <c r="I283" s="3" t="n">
        <v>0</v>
      </c>
      <c r="K283" s="3" t="n">
        <v>0</v>
      </c>
      <c r="L283" s="3" t="n">
        <v>0</v>
      </c>
      <c r="M283" s="3" t="n">
        <v>0</v>
      </c>
    </row>
    <row r="284">
      <c r="A284" t="inlineStr">
        <is>
          <t>Expected payoff</t>
        </is>
      </c>
      <c r="C284" s="3">
        <f>C283/C282</f>
        <v/>
      </c>
      <c r="D284" s="3">
        <f>D283/D282</f>
        <v/>
      </c>
      <c r="E284" s="3">
        <f>E283/E282</f>
        <v/>
      </c>
      <c r="G284" s="3">
        <f>G283/G282</f>
        <v/>
      </c>
      <c r="H284" s="3">
        <f>H283/H282</f>
        <v/>
      </c>
      <c r="I284" s="3">
        <f>I283/I282</f>
        <v/>
      </c>
      <c r="K284" s="3">
        <f>K283/K282</f>
        <v/>
      </c>
      <c r="L284" s="3">
        <f>L283/L282</f>
        <v/>
      </c>
      <c r="M284" s="3">
        <f>M283/M282</f>
        <v/>
      </c>
    </row>
    <row r="285">
      <c r="A285" t="inlineStr">
        <is>
          <t>Bet</t>
        </is>
      </c>
      <c r="C285" s="3" t="n">
        <v>0</v>
      </c>
      <c r="D285" s="3" t="n">
        <v>0</v>
      </c>
      <c r="E285" s="3" t="n">
        <v>0</v>
      </c>
      <c r="G285" s="3" t="n">
        <v>0</v>
      </c>
      <c r="H285" s="3" t="n">
        <v>0</v>
      </c>
      <c r="I285" s="3" t="n">
        <v>0</v>
      </c>
      <c r="K285" s="3" t="n">
        <v>0</v>
      </c>
      <c r="L285" s="3" t="n">
        <v>0</v>
      </c>
      <c r="M285" s="3" t="n">
        <v>0</v>
      </c>
    </row>
    <row r="286">
      <c r="A286" t="inlineStr">
        <is>
          <t>Match result</t>
        </is>
      </c>
      <c r="C286" s="3" t="n">
        <v>0</v>
      </c>
      <c r="D286" s="3" t="n">
        <v>0</v>
      </c>
      <c r="E286" s="3" t="n">
        <v>0</v>
      </c>
      <c r="G286" s="3" t="n">
        <v>0</v>
      </c>
      <c r="H286" s="3" t="n">
        <v>0</v>
      </c>
      <c r="I286" s="3" t="n">
        <v>0</v>
      </c>
      <c r="K286" s="3" t="n">
        <v>0</v>
      </c>
      <c r="L286" s="3" t="n">
        <v>0</v>
      </c>
      <c r="M286" s="3" t="n">
        <v>0</v>
      </c>
    </row>
    <row r="287">
      <c r="A287" t="inlineStr">
        <is>
          <t>Income</t>
        </is>
      </c>
      <c r="C287" s="3">
        <f>C283*C286*C285-C285</f>
        <v/>
      </c>
      <c r="D287" s="3">
        <f>D283*D286*D285-D285</f>
        <v/>
      </c>
      <c r="E287" s="3">
        <f>E283*E286*E285-E285</f>
        <v/>
      </c>
      <c r="G287" s="3">
        <f>G283*G286*G285-G285</f>
        <v/>
      </c>
      <c r="H287" s="3">
        <f>H283*H286*H285-H285</f>
        <v/>
      </c>
      <c r="I287" s="3">
        <f>I283*I286*I285-I285</f>
        <v/>
      </c>
      <c r="K287" s="3">
        <f>K283*K286*K285-K285</f>
        <v/>
      </c>
      <c r="L287" s="3">
        <f>L283*L286*L285-L285</f>
        <v/>
      </c>
      <c r="M287" s="3">
        <f>M283*M286*M285-M285</f>
        <v/>
      </c>
    </row>
    <row r="289">
      <c r="A289" s="1" t="inlineStr">
        <is>
          <t>Ligue 1</t>
        </is>
      </c>
      <c r="C289" s="1" t="inlineStr">
        <is>
          <t>Win/Draw/Lose</t>
        </is>
      </c>
      <c r="E289" s="1">
        <f> 0+C296+D296+E296 + E280</f>
        <v/>
      </c>
      <c r="G289" s="1" t="inlineStr">
        <is>
          <t>1st half winner</t>
        </is>
      </c>
      <c r="I289" s="1">
        <f> 0+G296+H296+I296 + I280</f>
        <v/>
      </c>
      <c r="K289" s="1" t="inlineStr">
        <is>
          <t>2nd half winner</t>
        </is>
      </c>
      <c r="M289" s="1">
        <f> 0+K296+L296+M296 + M280</f>
        <v/>
      </c>
    </row>
    <row r="290">
      <c r="A290" t="inlineStr">
        <is>
          <t>Saint Etienne - Nantes</t>
        </is>
      </c>
      <c r="C290" s="2" t="inlineStr">
        <is>
          <t>W1</t>
        </is>
      </c>
      <c r="D290" s="2" t="inlineStr">
        <is>
          <t>X</t>
        </is>
      </c>
      <c r="E290" s="2" t="inlineStr">
        <is>
          <t>W2</t>
        </is>
      </c>
      <c r="G290" s="2" t="inlineStr">
        <is>
          <t>1st half W1</t>
        </is>
      </c>
      <c r="H290" s="2" t="inlineStr">
        <is>
          <t>1st half X</t>
        </is>
      </c>
      <c r="I290" s="2" t="inlineStr">
        <is>
          <t>1st half W2</t>
        </is>
      </c>
      <c r="K290" s="2" t="inlineStr">
        <is>
          <t>2st half W1</t>
        </is>
      </c>
      <c r="L290" s="2" t="inlineStr">
        <is>
          <t>2nd half X</t>
        </is>
      </c>
      <c r="M290" s="2" t="inlineStr">
        <is>
          <t>2nd half W2</t>
        </is>
      </c>
    </row>
    <row r="291">
      <c r="A291" t="inlineStr">
        <is>
          <t>App</t>
        </is>
      </c>
      <c r="C291" s="3" t="n">
        <v>3.437</v>
      </c>
      <c r="D291" s="3" t="n">
        <v>4.689</v>
      </c>
      <c r="E291" s="3" t="n">
        <v>2.016</v>
      </c>
      <c r="G291" s="3" t="n">
        <v>3.572</v>
      </c>
      <c r="H291" s="3" t="n">
        <v>1.728</v>
      </c>
      <c r="I291" s="3" t="n">
        <v>7.058</v>
      </c>
      <c r="K291" s="3" t="n">
        <v>1.382</v>
      </c>
      <c r="L291" s="3" t="n">
        <v>49.301</v>
      </c>
      <c r="M291" s="3" t="n">
        <v>3.903</v>
      </c>
    </row>
    <row r="292">
      <c r="A292" t="inlineStr">
        <is>
          <t>Bookmaker</t>
        </is>
      </c>
      <c r="C292" s="3" t="n">
        <v>0</v>
      </c>
      <c r="D292" s="3" t="n">
        <v>0</v>
      </c>
      <c r="E292" s="3" t="n">
        <v>0</v>
      </c>
      <c r="G292" s="3" t="n">
        <v>0</v>
      </c>
      <c r="H292" s="3" t="n">
        <v>0</v>
      </c>
      <c r="I292" s="3" t="n">
        <v>0</v>
      </c>
      <c r="K292" s="3" t="n">
        <v>0</v>
      </c>
      <c r="L292" s="3" t="n">
        <v>0</v>
      </c>
      <c r="M292" s="3" t="n">
        <v>0</v>
      </c>
    </row>
    <row r="293">
      <c r="A293" t="inlineStr">
        <is>
          <t>Expected payoff</t>
        </is>
      </c>
      <c r="C293" s="3">
        <f>C292/C291</f>
        <v/>
      </c>
      <c r="D293" s="3">
        <f>D292/D291</f>
        <v/>
      </c>
      <c r="E293" s="3">
        <f>E292/E291</f>
        <v/>
      </c>
      <c r="G293" s="3">
        <f>G292/G291</f>
        <v/>
      </c>
      <c r="H293" s="3">
        <f>H292/H291</f>
        <v/>
      </c>
      <c r="I293" s="3">
        <f>I292/I291</f>
        <v/>
      </c>
      <c r="K293" s="3">
        <f>K292/K291</f>
        <v/>
      </c>
      <c r="L293" s="3">
        <f>L292/L291</f>
        <v/>
      </c>
      <c r="M293" s="3">
        <f>M292/M291</f>
        <v/>
      </c>
    </row>
    <row r="294">
      <c r="A294" t="inlineStr">
        <is>
          <t>Bet</t>
        </is>
      </c>
      <c r="C294" s="3" t="n">
        <v>0</v>
      </c>
      <c r="D294" s="3" t="n">
        <v>0</v>
      </c>
      <c r="E294" s="3" t="n">
        <v>0</v>
      </c>
      <c r="G294" s="3" t="n">
        <v>0</v>
      </c>
      <c r="H294" s="3" t="n">
        <v>0</v>
      </c>
      <c r="I294" s="3" t="n">
        <v>0</v>
      </c>
      <c r="K294" s="3" t="n">
        <v>0</v>
      </c>
      <c r="L294" s="3" t="n">
        <v>0</v>
      </c>
      <c r="M294" s="3" t="n">
        <v>0</v>
      </c>
    </row>
    <row r="295">
      <c r="A295" t="inlineStr">
        <is>
          <t>Match result</t>
        </is>
      </c>
      <c r="C295" s="3" t="n">
        <v>0</v>
      </c>
      <c r="D295" s="3" t="n">
        <v>0</v>
      </c>
      <c r="E295" s="3" t="n">
        <v>0</v>
      </c>
      <c r="G295" s="3" t="n">
        <v>0</v>
      </c>
      <c r="H295" s="3" t="n">
        <v>0</v>
      </c>
      <c r="I295" s="3" t="n">
        <v>0</v>
      </c>
      <c r="K295" s="3" t="n">
        <v>0</v>
      </c>
      <c r="L295" s="3" t="n">
        <v>0</v>
      </c>
      <c r="M295" s="3" t="n">
        <v>0</v>
      </c>
    </row>
    <row r="296">
      <c r="A296" t="inlineStr">
        <is>
          <t>Income</t>
        </is>
      </c>
      <c r="C296" s="3">
        <f>C292*C295*C294-C294</f>
        <v/>
      </c>
      <c r="D296" s="3">
        <f>D292*D295*D294-D294</f>
        <v/>
      </c>
      <c r="E296" s="3">
        <f>E292*E295*E294-E294</f>
        <v/>
      </c>
      <c r="G296" s="3">
        <f>G292*G295*G294-G294</f>
        <v/>
      </c>
      <c r="H296" s="3">
        <f>H292*H295*H294-H294</f>
        <v/>
      </c>
      <c r="I296" s="3">
        <f>I292*I295*I294-I294</f>
        <v/>
      </c>
      <c r="K296" s="3">
        <f>K292*K295*K294-K294</f>
        <v/>
      </c>
      <c r="L296" s="3">
        <f>L292*L295*L294-L294</f>
        <v/>
      </c>
      <c r="M296" s="3">
        <f>M292*M295*M294-M294</f>
        <v/>
      </c>
    </row>
    <row r="298">
      <c r="A298" s="1" t="inlineStr">
        <is>
          <t>Ligue 1</t>
        </is>
      </c>
      <c r="C298" s="1" t="inlineStr">
        <is>
          <t>Win/Draw/Lose</t>
        </is>
      </c>
      <c r="E298" s="1">
        <f> 0+C305+D305+E305 + E289</f>
        <v/>
      </c>
      <c r="G298" s="1" t="inlineStr">
        <is>
          <t>1st half winner</t>
        </is>
      </c>
      <c r="I298" s="1">
        <f> 0+G305+H305+I305 + I289</f>
        <v/>
      </c>
      <c r="K298" s="1" t="inlineStr">
        <is>
          <t>2nd half winner</t>
        </is>
      </c>
      <c r="M298" s="1">
        <f> 0+K305+L305+M305 + M289</f>
        <v/>
      </c>
    </row>
    <row r="299">
      <c r="A299" t="inlineStr">
        <is>
          <t>Marseille - Strasbourg</t>
        </is>
      </c>
      <c r="C299" s="2" t="inlineStr">
        <is>
          <t>W1</t>
        </is>
      </c>
      <c r="D299" s="2" t="inlineStr">
        <is>
          <t>X</t>
        </is>
      </c>
      <c r="E299" s="2" t="inlineStr">
        <is>
          <t>W2</t>
        </is>
      </c>
      <c r="G299" s="2" t="inlineStr">
        <is>
          <t>1st half W1</t>
        </is>
      </c>
      <c r="H299" s="2" t="inlineStr">
        <is>
          <t>1st half X</t>
        </is>
      </c>
      <c r="I299" s="2" t="inlineStr">
        <is>
          <t>1st half W2</t>
        </is>
      </c>
      <c r="K299" s="2" t="inlineStr">
        <is>
          <t>2st half W1</t>
        </is>
      </c>
      <c r="L299" s="2" t="inlineStr">
        <is>
          <t>2nd half X</t>
        </is>
      </c>
      <c r="M299" s="2" t="inlineStr">
        <is>
          <t>2nd half W2</t>
        </is>
      </c>
    </row>
    <row r="300">
      <c r="A300" t="inlineStr">
        <is>
          <t>App</t>
        </is>
      </c>
      <c r="C300" s="3" t="n">
        <v>1.902</v>
      </c>
      <c r="D300" s="3" t="n">
        <v>2.372</v>
      </c>
      <c r="E300" s="3" t="n">
        <v>18.898</v>
      </c>
      <c r="G300" s="3" t="n">
        <v>3.067</v>
      </c>
      <c r="H300" s="3" t="n">
        <v>6.592</v>
      </c>
      <c r="I300" s="3" t="n">
        <v>1.914</v>
      </c>
      <c r="K300" s="3" t="n">
        <v>1.402</v>
      </c>
      <c r="L300" s="3" t="n">
        <v>4.2</v>
      </c>
      <c r="M300" s="3" t="n">
        <v>20.447</v>
      </c>
    </row>
    <row r="301">
      <c r="A301" t="inlineStr">
        <is>
          <t>Bookmaker</t>
        </is>
      </c>
      <c r="C301" s="3" t="n">
        <v>0</v>
      </c>
      <c r="D301" s="3" t="n">
        <v>0</v>
      </c>
      <c r="E301" s="3" t="n">
        <v>0</v>
      </c>
      <c r="G301" s="3" t="n">
        <v>0</v>
      </c>
      <c r="H301" s="3" t="n">
        <v>0</v>
      </c>
      <c r="I301" s="3" t="n">
        <v>0</v>
      </c>
      <c r="K301" s="3" t="n">
        <v>0</v>
      </c>
      <c r="L301" s="3" t="n">
        <v>0</v>
      </c>
      <c r="M301" s="3" t="n">
        <v>0</v>
      </c>
    </row>
    <row r="302">
      <c r="A302" t="inlineStr">
        <is>
          <t>Expected payoff</t>
        </is>
      </c>
      <c r="C302" s="3">
        <f>C301/C300</f>
        <v/>
      </c>
      <c r="D302" s="3">
        <f>D301/D300</f>
        <v/>
      </c>
      <c r="E302" s="3">
        <f>E301/E300</f>
        <v/>
      </c>
      <c r="G302" s="3">
        <f>G301/G300</f>
        <v/>
      </c>
      <c r="H302" s="3">
        <f>H301/H300</f>
        <v/>
      </c>
      <c r="I302" s="3">
        <f>I301/I300</f>
        <v/>
      </c>
      <c r="K302" s="3">
        <f>K301/K300</f>
        <v/>
      </c>
      <c r="L302" s="3">
        <f>L301/L300</f>
        <v/>
      </c>
      <c r="M302" s="3">
        <f>M301/M300</f>
        <v/>
      </c>
    </row>
    <row r="303">
      <c r="A303" t="inlineStr">
        <is>
          <t>Bet</t>
        </is>
      </c>
      <c r="C303" s="3" t="n">
        <v>0</v>
      </c>
      <c r="D303" s="3" t="n">
        <v>0</v>
      </c>
      <c r="E303" s="3" t="n">
        <v>0</v>
      </c>
      <c r="G303" s="3" t="n">
        <v>0</v>
      </c>
      <c r="H303" s="3" t="n">
        <v>0</v>
      </c>
      <c r="I303" s="3" t="n">
        <v>0</v>
      </c>
      <c r="K303" s="3" t="n">
        <v>0</v>
      </c>
      <c r="L303" s="3" t="n">
        <v>0</v>
      </c>
      <c r="M303" s="3" t="n">
        <v>0</v>
      </c>
    </row>
    <row r="304">
      <c r="A304" t="inlineStr">
        <is>
          <t>Match result</t>
        </is>
      </c>
      <c r="C304" s="3" t="n">
        <v>0</v>
      </c>
      <c r="D304" s="3" t="n">
        <v>0</v>
      </c>
      <c r="E304" s="3" t="n">
        <v>0</v>
      </c>
      <c r="G304" s="3" t="n">
        <v>0</v>
      </c>
      <c r="H304" s="3" t="n">
        <v>0</v>
      </c>
      <c r="I304" s="3" t="n">
        <v>0</v>
      </c>
      <c r="K304" s="3" t="n">
        <v>0</v>
      </c>
      <c r="L304" s="3" t="n">
        <v>0</v>
      </c>
      <c r="M304" s="3" t="n">
        <v>0</v>
      </c>
    </row>
    <row r="305">
      <c r="A305" t="inlineStr">
        <is>
          <t>Income</t>
        </is>
      </c>
      <c r="C305" s="3">
        <f>C301*C304*C303-C303</f>
        <v/>
      </c>
      <c r="D305" s="3">
        <f>D301*D304*D303-D303</f>
        <v/>
      </c>
      <c r="E305" s="3">
        <f>E301*E304*E303-E303</f>
        <v/>
      </c>
      <c r="G305" s="3">
        <f>G301*G304*G303-G303</f>
        <v/>
      </c>
      <c r="H305" s="3">
        <f>H301*H304*H303-H303</f>
        <v/>
      </c>
      <c r="I305" s="3">
        <f>I301*I304*I303-I303</f>
        <v/>
      </c>
      <c r="K305" s="3">
        <f>K301*K304*K303-K303</f>
        <v/>
      </c>
      <c r="L305" s="3">
        <f>L301*L304*L303-L303</f>
        <v/>
      </c>
      <c r="M305" s="3">
        <f>M301*M304*M303-M303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2025-06-17T14:59:18Z</dcterms:created>
  <dcterms:modified xsi:type="dcterms:W3CDTF">2025-06-17T14:59:19Z</dcterms:modified>
</cp:coreProperties>
</file>
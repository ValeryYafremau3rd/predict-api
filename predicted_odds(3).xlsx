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516" yWindow="564" windowWidth="15996" windowHeight="5244" activeTab="1"/>
  </bookViews>
  <sheets>
    <sheet name="Absolute" sheetId="1" r:id="rId1"/>
    <sheet name="Relative" sheetId="2" r:id="rId2"/>
  </sheets>
  <calcPr calcId="125725"/>
</workbook>
</file>

<file path=xl/calcChain.xml><?xml version="1.0" encoding="utf-8"?>
<calcChain xmlns="http://schemas.openxmlformats.org/spreadsheetml/2006/main">
  <c r="N306" i="2"/>
  <c r="N298" l="1"/>
  <c r="N244"/>
  <c r="G32"/>
  <c r="H32"/>
  <c r="M305"/>
  <c r="L305"/>
  <c r="K305"/>
  <c r="I305"/>
  <c r="H305"/>
  <c r="G305"/>
  <c r="E305"/>
  <c r="D305"/>
  <c r="C305"/>
  <c r="M302"/>
  <c r="L302"/>
  <c r="K302"/>
  <c r="I302"/>
  <c r="H302"/>
  <c r="G302"/>
  <c r="E302"/>
  <c r="D302"/>
  <c r="C302"/>
  <c r="M296"/>
  <c r="L296"/>
  <c r="K296"/>
  <c r="I296"/>
  <c r="H296"/>
  <c r="G296"/>
  <c r="E296"/>
  <c r="D296"/>
  <c r="C296"/>
  <c r="M293"/>
  <c r="L293"/>
  <c r="K293"/>
  <c r="I293"/>
  <c r="H293"/>
  <c r="G293"/>
  <c r="E293"/>
  <c r="D293"/>
  <c r="C293"/>
  <c r="M287"/>
  <c r="L287"/>
  <c r="K287"/>
  <c r="I287"/>
  <c r="H287"/>
  <c r="G287"/>
  <c r="E287"/>
  <c r="D287"/>
  <c r="C287"/>
  <c r="M284"/>
  <c r="L284"/>
  <c r="K284"/>
  <c r="I284"/>
  <c r="H284"/>
  <c r="G284"/>
  <c r="E284"/>
  <c r="D284"/>
  <c r="C284"/>
  <c r="M278"/>
  <c r="L278"/>
  <c r="K278"/>
  <c r="I278"/>
  <c r="H278"/>
  <c r="G278"/>
  <c r="E278"/>
  <c r="D278"/>
  <c r="C278"/>
  <c r="M275"/>
  <c r="L275"/>
  <c r="K275"/>
  <c r="I275"/>
  <c r="H275"/>
  <c r="G275"/>
  <c r="E275"/>
  <c r="D275"/>
  <c r="C275"/>
  <c r="M269"/>
  <c r="L269"/>
  <c r="K269"/>
  <c r="I269"/>
  <c r="H269"/>
  <c r="G269"/>
  <c r="E269"/>
  <c r="D269"/>
  <c r="C269"/>
  <c r="M266"/>
  <c r="L266"/>
  <c r="K266"/>
  <c r="I266"/>
  <c r="H266"/>
  <c r="G266"/>
  <c r="E266"/>
  <c r="D266"/>
  <c r="C266"/>
  <c r="M260"/>
  <c r="L260"/>
  <c r="K260"/>
  <c r="I260"/>
  <c r="H260"/>
  <c r="G260"/>
  <c r="E260"/>
  <c r="D260"/>
  <c r="C260"/>
  <c r="M257"/>
  <c r="L257"/>
  <c r="K257"/>
  <c r="I257"/>
  <c r="H257"/>
  <c r="G257"/>
  <c r="E257"/>
  <c r="D257"/>
  <c r="C257"/>
  <c r="M251"/>
  <c r="L251"/>
  <c r="K251"/>
  <c r="I251"/>
  <c r="H251"/>
  <c r="G251"/>
  <c r="E251"/>
  <c r="D251"/>
  <c r="C251"/>
  <c r="M248"/>
  <c r="L248"/>
  <c r="K248"/>
  <c r="I248"/>
  <c r="H248"/>
  <c r="G248"/>
  <c r="E248"/>
  <c r="D248"/>
  <c r="C248"/>
  <c r="M242"/>
  <c r="L242"/>
  <c r="K242"/>
  <c r="I242"/>
  <c r="H242"/>
  <c r="G242"/>
  <c r="E242"/>
  <c r="D242"/>
  <c r="C242"/>
  <c r="M239"/>
  <c r="L239"/>
  <c r="K239"/>
  <c r="I239"/>
  <c r="H239"/>
  <c r="G239"/>
  <c r="E239"/>
  <c r="D239"/>
  <c r="C239"/>
  <c r="M233"/>
  <c r="L233"/>
  <c r="K233"/>
  <c r="I233"/>
  <c r="H233"/>
  <c r="G233"/>
  <c r="E233"/>
  <c r="D233"/>
  <c r="C233"/>
  <c r="M230"/>
  <c r="L230"/>
  <c r="K230"/>
  <c r="I230"/>
  <c r="H230"/>
  <c r="G230"/>
  <c r="E230"/>
  <c r="D230"/>
  <c r="C230"/>
  <c r="M224"/>
  <c r="L224"/>
  <c r="K224"/>
  <c r="I224"/>
  <c r="H224"/>
  <c r="G224"/>
  <c r="E224"/>
  <c r="D224"/>
  <c r="C224"/>
  <c r="M221"/>
  <c r="L221"/>
  <c r="K221"/>
  <c r="I221"/>
  <c r="H221"/>
  <c r="G221"/>
  <c r="E221"/>
  <c r="D221"/>
  <c r="C221"/>
  <c r="M215"/>
  <c r="L215"/>
  <c r="K215"/>
  <c r="I215"/>
  <c r="H215"/>
  <c r="G215"/>
  <c r="E215"/>
  <c r="D215"/>
  <c r="C215"/>
  <c r="M212"/>
  <c r="L212"/>
  <c r="K212"/>
  <c r="I212"/>
  <c r="H212"/>
  <c r="G212"/>
  <c r="E212"/>
  <c r="D212"/>
  <c r="C212"/>
  <c r="M206"/>
  <c r="L206"/>
  <c r="K206"/>
  <c r="I206"/>
  <c r="H206"/>
  <c r="G206"/>
  <c r="E206"/>
  <c r="D206"/>
  <c r="C206"/>
  <c r="M203"/>
  <c r="L203"/>
  <c r="K203"/>
  <c r="I203"/>
  <c r="H203"/>
  <c r="G203"/>
  <c r="E203"/>
  <c r="D203"/>
  <c r="C203"/>
  <c r="M197"/>
  <c r="L197"/>
  <c r="K197"/>
  <c r="I197"/>
  <c r="H197"/>
  <c r="G197"/>
  <c r="E197"/>
  <c r="D197"/>
  <c r="C197"/>
  <c r="M194"/>
  <c r="L194"/>
  <c r="K194"/>
  <c r="I194"/>
  <c r="H194"/>
  <c r="G194"/>
  <c r="E194"/>
  <c r="D194"/>
  <c r="C194"/>
  <c r="M188"/>
  <c r="L188"/>
  <c r="K188"/>
  <c r="I188"/>
  <c r="H188"/>
  <c r="G188"/>
  <c r="E188"/>
  <c r="D188"/>
  <c r="C188"/>
  <c r="M185"/>
  <c r="L185"/>
  <c r="K185"/>
  <c r="I185"/>
  <c r="H185"/>
  <c r="G185"/>
  <c r="E185"/>
  <c r="D185"/>
  <c r="C185"/>
  <c r="M179"/>
  <c r="L179"/>
  <c r="K179"/>
  <c r="I179"/>
  <c r="H179"/>
  <c r="G179"/>
  <c r="E179"/>
  <c r="D179"/>
  <c r="C179"/>
  <c r="M176"/>
  <c r="L176"/>
  <c r="K176"/>
  <c r="I176"/>
  <c r="H176"/>
  <c r="G176"/>
  <c r="E176"/>
  <c r="D176"/>
  <c r="C176"/>
  <c r="M170"/>
  <c r="L170"/>
  <c r="K170"/>
  <c r="I170"/>
  <c r="H170"/>
  <c r="G170"/>
  <c r="E170"/>
  <c r="D170"/>
  <c r="C170"/>
  <c r="M167"/>
  <c r="L167"/>
  <c r="K167"/>
  <c r="I167"/>
  <c r="H167"/>
  <c r="G167"/>
  <c r="E167"/>
  <c r="D167"/>
  <c r="C167"/>
  <c r="M161"/>
  <c r="L161"/>
  <c r="K161"/>
  <c r="I161"/>
  <c r="H161"/>
  <c r="G161"/>
  <c r="E161"/>
  <c r="D161"/>
  <c r="C161"/>
  <c r="M158"/>
  <c r="L158"/>
  <c r="K158"/>
  <c r="I158"/>
  <c r="H158"/>
  <c r="G158"/>
  <c r="E158"/>
  <c r="D158"/>
  <c r="C158"/>
  <c r="M152"/>
  <c r="L152"/>
  <c r="K152"/>
  <c r="I152"/>
  <c r="H152"/>
  <c r="G152"/>
  <c r="E152"/>
  <c r="D152"/>
  <c r="C152"/>
  <c r="M149"/>
  <c r="L149"/>
  <c r="K149"/>
  <c r="I149"/>
  <c r="H149"/>
  <c r="G149"/>
  <c r="E149"/>
  <c r="D149"/>
  <c r="C149"/>
  <c r="M143"/>
  <c r="L143"/>
  <c r="K143"/>
  <c r="I143"/>
  <c r="H143"/>
  <c r="G143"/>
  <c r="E143"/>
  <c r="D143"/>
  <c r="C143"/>
  <c r="M140"/>
  <c r="L140"/>
  <c r="K140"/>
  <c r="I140"/>
  <c r="H140"/>
  <c r="G140"/>
  <c r="E140"/>
  <c r="D140"/>
  <c r="C140"/>
  <c r="M134"/>
  <c r="L134"/>
  <c r="K134"/>
  <c r="I134"/>
  <c r="H134"/>
  <c r="G134"/>
  <c r="E134"/>
  <c r="D134"/>
  <c r="C134"/>
  <c r="M131"/>
  <c r="L131"/>
  <c r="K131"/>
  <c r="I131"/>
  <c r="H131"/>
  <c r="G131"/>
  <c r="E131"/>
  <c r="D131"/>
  <c r="C131"/>
  <c r="M125"/>
  <c r="L125"/>
  <c r="K125"/>
  <c r="I125"/>
  <c r="H125"/>
  <c r="G125"/>
  <c r="E125"/>
  <c r="D125"/>
  <c r="C125"/>
  <c r="M122"/>
  <c r="L122"/>
  <c r="K122"/>
  <c r="I122"/>
  <c r="H122"/>
  <c r="G122"/>
  <c r="E122"/>
  <c r="D122"/>
  <c r="C122"/>
  <c r="M116"/>
  <c r="L116"/>
  <c r="K116"/>
  <c r="I116"/>
  <c r="H116"/>
  <c r="G116"/>
  <c r="E116"/>
  <c r="D116"/>
  <c r="C116"/>
  <c r="M113"/>
  <c r="L113"/>
  <c r="K113"/>
  <c r="I113"/>
  <c r="H113"/>
  <c r="G113"/>
  <c r="E113"/>
  <c r="D113"/>
  <c r="C113"/>
  <c r="M107"/>
  <c r="L107"/>
  <c r="K107"/>
  <c r="I107"/>
  <c r="H107"/>
  <c r="G107"/>
  <c r="E107"/>
  <c r="D107"/>
  <c r="C107"/>
  <c r="M104"/>
  <c r="L104"/>
  <c r="K104"/>
  <c r="I104"/>
  <c r="H104"/>
  <c r="G104"/>
  <c r="E104"/>
  <c r="D104"/>
  <c r="C104"/>
  <c r="M98"/>
  <c r="L98"/>
  <c r="K98"/>
  <c r="I98"/>
  <c r="H98"/>
  <c r="G98"/>
  <c r="E98"/>
  <c r="D98"/>
  <c r="C98"/>
  <c r="M95"/>
  <c r="L95"/>
  <c r="K95"/>
  <c r="I95"/>
  <c r="H95"/>
  <c r="G95"/>
  <c r="E95"/>
  <c r="D95"/>
  <c r="C95"/>
  <c r="M89"/>
  <c r="L89"/>
  <c r="K89"/>
  <c r="I89"/>
  <c r="H89"/>
  <c r="G89"/>
  <c r="E89"/>
  <c r="D89"/>
  <c r="C89"/>
  <c r="M86"/>
  <c r="L86"/>
  <c r="K86"/>
  <c r="I86"/>
  <c r="H86"/>
  <c r="G86"/>
  <c r="E86"/>
  <c r="D86"/>
  <c r="C86"/>
  <c r="M80"/>
  <c r="L80"/>
  <c r="K80"/>
  <c r="I80"/>
  <c r="H80"/>
  <c r="G80"/>
  <c r="E80"/>
  <c r="D80"/>
  <c r="C80"/>
  <c r="M77"/>
  <c r="L77"/>
  <c r="K77"/>
  <c r="I77"/>
  <c r="H77"/>
  <c r="G77"/>
  <c r="E77"/>
  <c r="D77"/>
  <c r="C77"/>
  <c r="M71"/>
  <c r="L71"/>
  <c r="K71"/>
  <c r="I71"/>
  <c r="H71"/>
  <c r="G71"/>
  <c r="E71"/>
  <c r="D71"/>
  <c r="C71"/>
  <c r="M68"/>
  <c r="L68"/>
  <c r="K68"/>
  <c r="I68"/>
  <c r="H68"/>
  <c r="G68"/>
  <c r="E68"/>
  <c r="D68"/>
  <c r="C68"/>
  <c r="M62"/>
  <c r="L62"/>
  <c r="K62"/>
  <c r="I62"/>
  <c r="H62"/>
  <c r="G62"/>
  <c r="E62"/>
  <c r="D62"/>
  <c r="C62"/>
  <c r="M59"/>
  <c r="L59"/>
  <c r="K59"/>
  <c r="I59"/>
  <c r="H59"/>
  <c r="G59"/>
  <c r="E59"/>
  <c r="D59"/>
  <c r="C59"/>
  <c r="M53"/>
  <c r="L53"/>
  <c r="K53"/>
  <c r="I53"/>
  <c r="H53"/>
  <c r="G53"/>
  <c r="E53"/>
  <c r="D53"/>
  <c r="C53"/>
  <c r="M50"/>
  <c r="L50"/>
  <c r="K50"/>
  <c r="I50"/>
  <c r="H50"/>
  <c r="G50"/>
  <c r="E50"/>
  <c r="D50"/>
  <c r="C50"/>
  <c r="M44"/>
  <c r="L44"/>
  <c r="K44"/>
  <c r="I44"/>
  <c r="H44"/>
  <c r="G44"/>
  <c r="E44"/>
  <c r="D44"/>
  <c r="C44"/>
  <c r="M41"/>
  <c r="L41"/>
  <c r="K41"/>
  <c r="I41"/>
  <c r="H41"/>
  <c r="G41"/>
  <c r="E41"/>
  <c r="D41"/>
  <c r="C41"/>
  <c r="M35"/>
  <c r="L35"/>
  <c r="K35"/>
  <c r="I35"/>
  <c r="H35"/>
  <c r="G35"/>
  <c r="E35"/>
  <c r="D35"/>
  <c r="C35"/>
  <c r="M32"/>
  <c r="L32"/>
  <c r="K32"/>
  <c r="I32"/>
  <c r="E32"/>
  <c r="D32"/>
  <c r="C32"/>
  <c r="M26"/>
  <c r="L26"/>
  <c r="K26"/>
  <c r="I26"/>
  <c r="H26"/>
  <c r="G26"/>
  <c r="E26"/>
  <c r="D26"/>
  <c r="C26"/>
  <c r="M23"/>
  <c r="L23"/>
  <c r="K23"/>
  <c r="I23"/>
  <c r="H23"/>
  <c r="G23"/>
  <c r="E23"/>
  <c r="D23"/>
  <c r="C23"/>
  <c r="M17"/>
  <c r="L17"/>
  <c r="K17"/>
  <c r="I17"/>
  <c r="H17"/>
  <c r="G17"/>
  <c r="E17"/>
  <c r="D17"/>
  <c r="C17"/>
  <c r="M14"/>
  <c r="L14"/>
  <c r="K14"/>
  <c r="I14"/>
  <c r="H14"/>
  <c r="G14"/>
  <c r="E14"/>
  <c r="D14"/>
  <c r="C14"/>
  <c r="M8"/>
  <c r="L8"/>
  <c r="K8"/>
  <c r="I8"/>
  <c r="H8"/>
  <c r="G8"/>
  <c r="I1" s="1"/>
  <c r="E8"/>
  <c r="D8"/>
  <c r="C8"/>
  <c r="E1" s="1"/>
  <c r="M5"/>
  <c r="L5"/>
  <c r="K5"/>
  <c r="I5"/>
  <c r="H5"/>
  <c r="G5"/>
  <c r="E5"/>
  <c r="D5"/>
  <c r="C5"/>
  <c r="M305" i="1"/>
  <c r="L305"/>
  <c r="K305"/>
  <c r="I305"/>
  <c r="H305"/>
  <c r="G305"/>
  <c r="E305"/>
  <c r="D305"/>
  <c r="C305"/>
  <c r="M302"/>
  <c r="L302"/>
  <c r="K302"/>
  <c r="I302"/>
  <c r="H302"/>
  <c r="G302"/>
  <c r="E302"/>
  <c r="D302"/>
  <c r="C302"/>
  <c r="M296"/>
  <c r="L296"/>
  <c r="K296"/>
  <c r="I296"/>
  <c r="H296"/>
  <c r="G296"/>
  <c r="E296"/>
  <c r="D296"/>
  <c r="C296"/>
  <c r="M293"/>
  <c r="L293"/>
  <c r="K293"/>
  <c r="I293"/>
  <c r="H293"/>
  <c r="G293"/>
  <c r="E293"/>
  <c r="D293"/>
  <c r="C293"/>
  <c r="M287"/>
  <c r="L287"/>
  <c r="K287"/>
  <c r="I287"/>
  <c r="H287"/>
  <c r="G287"/>
  <c r="E287"/>
  <c r="D287"/>
  <c r="C287"/>
  <c r="M284"/>
  <c r="L284"/>
  <c r="K284"/>
  <c r="I284"/>
  <c r="H284"/>
  <c r="G284"/>
  <c r="E284"/>
  <c r="D284"/>
  <c r="C284"/>
  <c r="M278"/>
  <c r="L278"/>
  <c r="K278"/>
  <c r="I278"/>
  <c r="H278"/>
  <c r="G278"/>
  <c r="E278"/>
  <c r="D278"/>
  <c r="C278"/>
  <c r="M275"/>
  <c r="L275"/>
  <c r="K275"/>
  <c r="I275"/>
  <c r="H275"/>
  <c r="G275"/>
  <c r="E275"/>
  <c r="D275"/>
  <c r="C275"/>
  <c r="M269"/>
  <c r="L269"/>
  <c r="K269"/>
  <c r="I269"/>
  <c r="H269"/>
  <c r="G269"/>
  <c r="E269"/>
  <c r="D269"/>
  <c r="C269"/>
  <c r="M266"/>
  <c r="L266"/>
  <c r="K266"/>
  <c r="I266"/>
  <c r="H266"/>
  <c r="G266"/>
  <c r="E266"/>
  <c r="D266"/>
  <c r="C266"/>
  <c r="M260"/>
  <c r="L260"/>
  <c r="K260"/>
  <c r="I260"/>
  <c r="H260"/>
  <c r="G260"/>
  <c r="E260"/>
  <c r="D260"/>
  <c r="C260"/>
  <c r="M257"/>
  <c r="L257"/>
  <c r="K257"/>
  <c r="I257"/>
  <c r="H257"/>
  <c r="G257"/>
  <c r="E257"/>
  <c r="D257"/>
  <c r="C257"/>
  <c r="M251"/>
  <c r="L251"/>
  <c r="K251"/>
  <c r="I251"/>
  <c r="H251"/>
  <c r="G251"/>
  <c r="E251"/>
  <c r="D251"/>
  <c r="C251"/>
  <c r="M248"/>
  <c r="L248"/>
  <c r="K248"/>
  <c r="I248"/>
  <c r="H248"/>
  <c r="G248"/>
  <c r="E248"/>
  <c r="D248"/>
  <c r="C248"/>
  <c r="M242"/>
  <c r="L242"/>
  <c r="K242"/>
  <c r="I242"/>
  <c r="H242"/>
  <c r="G242"/>
  <c r="E242"/>
  <c r="D242"/>
  <c r="C242"/>
  <c r="M239"/>
  <c r="L239"/>
  <c r="K239"/>
  <c r="I239"/>
  <c r="H239"/>
  <c r="G239"/>
  <c r="E239"/>
  <c r="D239"/>
  <c r="C239"/>
  <c r="M233"/>
  <c r="L233"/>
  <c r="K233"/>
  <c r="I233"/>
  <c r="H233"/>
  <c r="G233"/>
  <c r="E233"/>
  <c r="D233"/>
  <c r="C233"/>
  <c r="M230"/>
  <c r="L230"/>
  <c r="K230"/>
  <c r="I230"/>
  <c r="H230"/>
  <c r="G230"/>
  <c r="E230"/>
  <c r="D230"/>
  <c r="C230"/>
  <c r="M224"/>
  <c r="L224"/>
  <c r="K224"/>
  <c r="I224"/>
  <c r="H224"/>
  <c r="G224"/>
  <c r="E224"/>
  <c r="D224"/>
  <c r="C224"/>
  <c r="M221"/>
  <c r="L221"/>
  <c r="K221"/>
  <c r="I221"/>
  <c r="H221"/>
  <c r="G221"/>
  <c r="E221"/>
  <c r="D221"/>
  <c r="C221"/>
  <c r="M215"/>
  <c r="L215"/>
  <c r="K215"/>
  <c r="I215"/>
  <c r="H215"/>
  <c r="G215"/>
  <c r="E215"/>
  <c r="D215"/>
  <c r="C215"/>
  <c r="M212"/>
  <c r="L212"/>
  <c r="K212"/>
  <c r="I212"/>
  <c r="H212"/>
  <c r="G212"/>
  <c r="E212"/>
  <c r="D212"/>
  <c r="C212"/>
  <c r="M206"/>
  <c r="L206"/>
  <c r="K206"/>
  <c r="I206"/>
  <c r="H206"/>
  <c r="G206"/>
  <c r="E206"/>
  <c r="D206"/>
  <c r="C206"/>
  <c r="M203"/>
  <c r="L203"/>
  <c r="K203"/>
  <c r="I203"/>
  <c r="H203"/>
  <c r="G203"/>
  <c r="E203"/>
  <c r="D203"/>
  <c r="C203"/>
  <c r="M197"/>
  <c r="L197"/>
  <c r="K197"/>
  <c r="I197"/>
  <c r="H197"/>
  <c r="G197"/>
  <c r="E197"/>
  <c r="D197"/>
  <c r="C197"/>
  <c r="M194"/>
  <c r="L194"/>
  <c r="K194"/>
  <c r="I194"/>
  <c r="H194"/>
  <c r="G194"/>
  <c r="E194"/>
  <c r="D194"/>
  <c r="C194"/>
  <c r="M188"/>
  <c r="L188"/>
  <c r="K188"/>
  <c r="I188"/>
  <c r="H188"/>
  <c r="G188"/>
  <c r="E188"/>
  <c r="D188"/>
  <c r="C188"/>
  <c r="M185"/>
  <c r="L185"/>
  <c r="K185"/>
  <c r="I185"/>
  <c r="H185"/>
  <c r="G185"/>
  <c r="E185"/>
  <c r="D185"/>
  <c r="C185"/>
  <c r="M179"/>
  <c r="L179"/>
  <c r="K179"/>
  <c r="I179"/>
  <c r="H179"/>
  <c r="G179"/>
  <c r="E179"/>
  <c r="D179"/>
  <c r="C179"/>
  <c r="M176"/>
  <c r="L176"/>
  <c r="K176"/>
  <c r="I176"/>
  <c r="H176"/>
  <c r="G176"/>
  <c r="E176"/>
  <c r="D176"/>
  <c r="C176"/>
  <c r="M170"/>
  <c r="L170"/>
  <c r="K170"/>
  <c r="I170"/>
  <c r="H170"/>
  <c r="G170"/>
  <c r="E170"/>
  <c r="D170"/>
  <c r="C170"/>
  <c r="M167"/>
  <c r="L167"/>
  <c r="K167"/>
  <c r="I167"/>
  <c r="H167"/>
  <c r="G167"/>
  <c r="E167"/>
  <c r="D167"/>
  <c r="C167"/>
  <c r="M161"/>
  <c r="L161"/>
  <c r="K161"/>
  <c r="I161"/>
  <c r="H161"/>
  <c r="G161"/>
  <c r="E161"/>
  <c r="D161"/>
  <c r="C161"/>
  <c r="M158"/>
  <c r="L158"/>
  <c r="K158"/>
  <c r="I158"/>
  <c r="H158"/>
  <c r="G158"/>
  <c r="E158"/>
  <c r="D158"/>
  <c r="C158"/>
  <c r="M152"/>
  <c r="L152"/>
  <c r="K152"/>
  <c r="I152"/>
  <c r="H152"/>
  <c r="G152"/>
  <c r="E152"/>
  <c r="D152"/>
  <c r="C152"/>
  <c r="M149"/>
  <c r="L149"/>
  <c r="K149"/>
  <c r="I149"/>
  <c r="H149"/>
  <c r="G149"/>
  <c r="E149"/>
  <c r="D149"/>
  <c r="C149"/>
  <c r="M143"/>
  <c r="L143"/>
  <c r="K143"/>
  <c r="I143"/>
  <c r="H143"/>
  <c r="G143"/>
  <c r="E143"/>
  <c r="D143"/>
  <c r="C143"/>
  <c r="M140"/>
  <c r="L140"/>
  <c r="K140"/>
  <c r="I140"/>
  <c r="H140"/>
  <c r="G140"/>
  <c r="E140"/>
  <c r="D140"/>
  <c r="C140"/>
  <c r="M134"/>
  <c r="L134"/>
  <c r="K134"/>
  <c r="I134"/>
  <c r="H134"/>
  <c r="G134"/>
  <c r="E134"/>
  <c r="D134"/>
  <c r="C134"/>
  <c r="M131"/>
  <c r="L131"/>
  <c r="K131"/>
  <c r="I131"/>
  <c r="H131"/>
  <c r="G131"/>
  <c r="E131"/>
  <c r="D131"/>
  <c r="C131"/>
  <c r="M125"/>
  <c r="L125"/>
  <c r="K125"/>
  <c r="I125"/>
  <c r="H125"/>
  <c r="G125"/>
  <c r="E125"/>
  <c r="D125"/>
  <c r="C125"/>
  <c r="M122"/>
  <c r="L122"/>
  <c r="K122"/>
  <c r="I122"/>
  <c r="H122"/>
  <c r="G122"/>
  <c r="E122"/>
  <c r="D122"/>
  <c r="C122"/>
  <c r="M116"/>
  <c r="L116"/>
  <c r="K116"/>
  <c r="I116"/>
  <c r="H116"/>
  <c r="G116"/>
  <c r="E116"/>
  <c r="D116"/>
  <c r="C116"/>
  <c r="M113"/>
  <c r="L113"/>
  <c r="K113"/>
  <c r="I113"/>
  <c r="H113"/>
  <c r="G113"/>
  <c r="E113"/>
  <c r="D113"/>
  <c r="C113"/>
  <c r="M107"/>
  <c r="L107"/>
  <c r="K107"/>
  <c r="I107"/>
  <c r="H107"/>
  <c r="G107"/>
  <c r="E107"/>
  <c r="D107"/>
  <c r="C107"/>
  <c r="M104"/>
  <c r="L104"/>
  <c r="K104"/>
  <c r="I104"/>
  <c r="H104"/>
  <c r="G104"/>
  <c r="E104"/>
  <c r="D104"/>
  <c r="C104"/>
  <c r="M98"/>
  <c r="L98"/>
  <c r="K98"/>
  <c r="I98"/>
  <c r="H98"/>
  <c r="G98"/>
  <c r="E98"/>
  <c r="D98"/>
  <c r="C98"/>
  <c r="M95"/>
  <c r="L95"/>
  <c r="K95"/>
  <c r="I95"/>
  <c r="H95"/>
  <c r="G95"/>
  <c r="E95"/>
  <c r="D95"/>
  <c r="C95"/>
  <c r="M89"/>
  <c r="L89"/>
  <c r="K89"/>
  <c r="I89"/>
  <c r="H89"/>
  <c r="G89"/>
  <c r="E89"/>
  <c r="D89"/>
  <c r="C89"/>
  <c r="M86"/>
  <c r="L86"/>
  <c r="K86"/>
  <c r="I86"/>
  <c r="H86"/>
  <c r="G86"/>
  <c r="E86"/>
  <c r="D86"/>
  <c r="C86"/>
  <c r="M80"/>
  <c r="L80"/>
  <c r="K80"/>
  <c r="I80"/>
  <c r="H80"/>
  <c r="G80"/>
  <c r="E80"/>
  <c r="D80"/>
  <c r="C80"/>
  <c r="M77"/>
  <c r="L77"/>
  <c r="K77"/>
  <c r="I77"/>
  <c r="H77"/>
  <c r="G77"/>
  <c r="E77"/>
  <c r="D77"/>
  <c r="C77"/>
  <c r="M71"/>
  <c r="L71"/>
  <c r="K71"/>
  <c r="I71"/>
  <c r="H71"/>
  <c r="G71"/>
  <c r="E71"/>
  <c r="D71"/>
  <c r="C71"/>
  <c r="M68"/>
  <c r="L68"/>
  <c r="K68"/>
  <c r="I68"/>
  <c r="H68"/>
  <c r="G68"/>
  <c r="E68"/>
  <c r="D68"/>
  <c r="C68"/>
  <c r="M62"/>
  <c r="L62"/>
  <c r="K62"/>
  <c r="I62"/>
  <c r="H62"/>
  <c r="G62"/>
  <c r="E62"/>
  <c r="D62"/>
  <c r="C62"/>
  <c r="M59"/>
  <c r="L59"/>
  <c r="K59"/>
  <c r="I59"/>
  <c r="H59"/>
  <c r="G59"/>
  <c r="E59"/>
  <c r="D59"/>
  <c r="C59"/>
  <c r="M53"/>
  <c r="L53"/>
  <c r="K53"/>
  <c r="I53"/>
  <c r="H53"/>
  <c r="G53"/>
  <c r="E53"/>
  <c r="D53"/>
  <c r="C53"/>
  <c r="M50"/>
  <c r="L50"/>
  <c r="K50"/>
  <c r="I50"/>
  <c r="H50"/>
  <c r="G50"/>
  <c r="E50"/>
  <c r="D50"/>
  <c r="C50"/>
  <c r="M44"/>
  <c r="L44"/>
  <c r="K44"/>
  <c r="I44"/>
  <c r="H44"/>
  <c r="G44"/>
  <c r="E44"/>
  <c r="D44"/>
  <c r="C44"/>
  <c r="M41"/>
  <c r="L41"/>
  <c r="K41"/>
  <c r="I41"/>
  <c r="H41"/>
  <c r="G41"/>
  <c r="E41"/>
  <c r="D41"/>
  <c r="C41"/>
  <c r="M35"/>
  <c r="L35"/>
  <c r="K35"/>
  <c r="I35"/>
  <c r="H35"/>
  <c r="G35"/>
  <c r="E35"/>
  <c r="D35"/>
  <c r="C35"/>
  <c r="M32"/>
  <c r="L32"/>
  <c r="K32"/>
  <c r="I32"/>
  <c r="H32"/>
  <c r="G32"/>
  <c r="E32"/>
  <c r="D32"/>
  <c r="C32"/>
  <c r="M26"/>
  <c r="L26"/>
  <c r="K26"/>
  <c r="I26"/>
  <c r="H26"/>
  <c r="G26"/>
  <c r="E26"/>
  <c r="D26"/>
  <c r="C26"/>
  <c r="M23"/>
  <c r="L23"/>
  <c r="K23"/>
  <c r="I23"/>
  <c r="H23"/>
  <c r="G23"/>
  <c r="E23"/>
  <c r="D23"/>
  <c r="C23"/>
  <c r="M17"/>
  <c r="L17"/>
  <c r="K17"/>
  <c r="I17"/>
  <c r="H17"/>
  <c r="G17"/>
  <c r="E17"/>
  <c r="D17"/>
  <c r="C17"/>
  <c r="M14"/>
  <c r="L14"/>
  <c r="K14"/>
  <c r="I14"/>
  <c r="H14"/>
  <c r="G14"/>
  <c r="E14"/>
  <c r="D14"/>
  <c r="C14"/>
  <c r="M8"/>
  <c r="L8"/>
  <c r="K8"/>
  <c r="I8"/>
  <c r="H8"/>
  <c r="G8"/>
  <c r="E8"/>
  <c r="D8"/>
  <c r="C8"/>
  <c r="M5"/>
  <c r="L5"/>
  <c r="K5"/>
  <c r="I5"/>
  <c r="H5"/>
  <c r="G5"/>
  <c r="E5"/>
  <c r="D5"/>
  <c r="C5"/>
  <c r="E10" i="2" l="1"/>
  <c r="E19" s="1"/>
  <c r="E28" s="1"/>
  <c r="E37" s="1"/>
  <c r="E46" s="1"/>
  <c r="E55" s="1"/>
  <c r="M1"/>
  <c r="M10" s="1"/>
  <c r="M19" s="1"/>
  <c r="M28" s="1"/>
  <c r="M37" s="1"/>
  <c r="M46" s="1"/>
  <c r="M55" s="1"/>
  <c r="M64" s="1"/>
  <c r="M73" s="1"/>
  <c r="M82" s="1"/>
  <c r="M91" s="1"/>
  <c r="M100" s="1"/>
  <c r="M109" s="1"/>
  <c r="M118" s="1"/>
  <c r="M127" s="1"/>
  <c r="M136" s="1"/>
  <c r="M145" s="1"/>
  <c r="M154" s="1"/>
  <c r="M163" s="1"/>
  <c r="M172" s="1"/>
  <c r="M181" s="1"/>
  <c r="M190" s="1"/>
  <c r="M199" s="1"/>
  <c r="M208" s="1"/>
  <c r="M217" s="1"/>
  <c r="M226" s="1"/>
  <c r="M235" s="1"/>
  <c r="M244" s="1"/>
  <c r="M253" s="1"/>
  <c r="M262" s="1"/>
  <c r="M271" s="1"/>
  <c r="M280" s="1"/>
  <c r="M289" s="1"/>
  <c r="M298" s="1"/>
  <c r="I10"/>
  <c r="I19" s="1"/>
  <c r="I28" s="1"/>
  <c r="I37" s="1"/>
  <c r="I46" s="1"/>
  <c r="I55" s="1"/>
  <c r="I64" s="1"/>
  <c r="I73" s="1"/>
  <c r="I82" s="1"/>
  <c r="I91" s="1"/>
  <c r="I100" s="1"/>
  <c r="I109" s="1"/>
  <c r="I118" s="1"/>
  <c r="I127" s="1"/>
  <c r="I136" s="1"/>
  <c r="I145" s="1"/>
  <c r="I154" s="1"/>
  <c r="I163" s="1"/>
  <c r="I172" s="1"/>
  <c r="I181" s="1"/>
  <c r="I190" s="1"/>
  <c r="I199" s="1"/>
  <c r="I208" s="1"/>
  <c r="I217" s="1"/>
  <c r="I226" s="1"/>
  <c r="I235" s="1"/>
  <c r="I244" s="1"/>
  <c r="I253" s="1"/>
  <c r="I262" s="1"/>
  <c r="I271" s="1"/>
  <c r="I280" s="1"/>
  <c r="I289" s="1"/>
  <c r="I298" s="1"/>
  <c r="M1" i="1"/>
  <c r="I1"/>
  <c r="I10" s="1"/>
  <c r="I19" s="1"/>
  <c r="I28" s="1"/>
  <c r="I37" s="1"/>
  <c r="I46" s="1"/>
  <c r="I55" s="1"/>
  <c r="I64" s="1"/>
  <c r="I73" s="1"/>
  <c r="I82" s="1"/>
  <c r="I91" s="1"/>
  <c r="I100" s="1"/>
  <c r="I109" s="1"/>
  <c r="I118" s="1"/>
  <c r="I127" s="1"/>
  <c r="I136" s="1"/>
  <c r="I145" s="1"/>
  <c r="I154" s="1"/>
  <c r="I163" s="1"/>
  <c r="I172" s="1"/>
  <c r="I181" s="1"/>
  <c r="I190" s="1"/>
  <c r="I199" s="1"/>
  <c r="I208" s="1"/>
  <c r="I217" s="1"/>
  <c r="I226" s="1"/>
  <c r="I235" s="1"/>
  <c r="I244" s="1"/>
  <c r="I253" s="1"/>
  <c r="I262" s="1"/>
  <c r="I271" s="1"/>
  <c r="I280" s="1"/>
  <c r="I289" s="1"/>
  <c r="I298" s="1"/>
  <c r="E1"/>
  <c r="E10" s="1"/>
  <c r="E19" s="1"/>
  <c r="E28" s="1"/>
  <c r="E37" s="1"/>
  <c r="E46" s="1"/>
  <c r="E55" s="1"/>
  <c r="E64" s="1"/>
  <c r="E73" s="1"/>
  <c r="E82" s="1"/>
  <c r="E91" s="1"/>
  <c r="E100" s="1"/>
  <c r="E109" s="1"/>
  <c r="E118" s="1"/>
  <c r="E127" s="1"/>
  <c r="E136" s="1"/>
  <c r="E145" s="1"/>
  <c r="E154" s="1"/>
  <c r="E163" s="1"/>
  <c r="E172" s="1"/>
  <c r="E181" s="1"/>
  <c r="E190" s="1"/>
  <c r="E199" s="1"/>
  <c r="E208" s="1"/>
  <c r="E217" s="1"/>
  <c r="E226" s="1"/>
  <c r="E235" s="1"/>
  <c r="E244" s="1"/>
  <c r="E253" s="1"/>
  <c r="E262" s="1"/>
  <c r="E271" s="1"/>
  <c r="E280" s="1"/>
  <c r="E289" s="1"/>
  <c r="E298" s="1"/>
  <c r="M10"/>
  <c r="M19" s="1"/>
  <c r="M28" s="1"/>
  <c r="M37" s="1"/>
  <c r="M46" s="1"/>
  <c r="M55" s="1"/>
  <c r="M64" s="1"/>
  <c r="M73" s="1"/>
  <c r="M82" s="1"/>
  <c r="M91" s="1"/>
  <c r="M100" s="1"/>
  <c r="M109" s="1"/>
  <c r="M118" s="1"/>
  <c r="M127" s="1"/>
  <c r="M136" s="1"/>
  <c r="M145" s="1"/>
  <c r="M154" s="1"/>
  <c r="M163" s="1"/>
  <c r="M172" s="1"/>
  <c r="M181" s="1"/>
  <c r="M190" s="1"/>
  <c r="M199" s="1"/>
  <c r="M208" s="1"/>
  <c r="M217" s="1"/>
  <c r="M226" s="1"/>
  <c r="M235" s="1"/>
  <c r="M244" s="1"/>
  <c r="M253" s="1"/>
  <c r="M262" s="1"/>
  <c r="M271" s="1"/>
  <c r="M280" s="1"/>
  <c r="M289" s="1"/>
  <c r="M298" s="1"/>
  <c r="E64" i="2" l="1"/>
  <c r="E73" s="1"/>
  <c r="E82" s="1"/>
  <c r="E91" s="1"/>
  <c r="E100" s="1"/>
  <c r="E109" s="1"/>
  <c r="E118" s="1"/>
  <c r="N55"/>
  <c r="E127" l="1"/>
  <c r="E136" s="1"/>
  <c r="E145" s="1"/>
  <c r="E154" s="1"/>
  <c r="E163" s="1"/>
  <c r="E172" s="1"/>
  <c r="E181" s="1"/>
  <c r="N118"/>
  <c r="E190" l="1"/>
  <c r="E199" s="1"/>
  <c r="E208" s="1"/>
  <c r="E217" s="1"/>
  <c r="E226" s="1"/>
  <c r="E235" s="1"/>
  <c r="E244" s="1"/>
  <c r="N181"/>
  <c r="E253" l="1"/>
  <c r="E262" s="1"/>
  <c r="E271" s="1"/>
  <c r="E280" s="1"/>
  <c r="E289" s="1"/>
  <c r="E298" s="1"/>
</calcChain>
</file>

<file path=xl/sharedStrings.xml><?xml version="1.0" encoding="utf-8"?>
<sst xmlns="http://schemas.openxmlformats.org/spreadsheetml/2006/main" count="1360" uniqueCount="57">
  <si>
    <t>Premier League</t>
  </si>
  <si>
    <t>Win/Draw/Lose</t>
  </si>
  <si>
    <t>1st half winner</t>
  </si>
  <si>
    <t>2nd half winner</t>
  </si>
  <si>
    <t>Brighton - Chelsea</t>
  </si>
  <si>
    <t>W1</t>
  </si>
  <si>
    <t>X</t>
  </si>
  <si>
    <t>W2</t>
  </si>
  <si>
    <t>1st half W1</t>
  </si>
  <si>
    <t>1st half X</t>
  </si>
  <si>
    <t>1st half W2</t>
  </si>
  <si>
    <t>2nd half W1</t>
  </si>
  <si>
    <t>2nd half X</t>
  </si>
  <si>
    <t>2nd half W2</t>
  </si>
  <si>
    <t>App</t>
  </si>
  <si>
    <t>Bookmaker</t>
  </si>
  <si>
    <t>Expected payoff</t>
  </si>
  <si>
    <t>Bet</t>
  </si>
  <si>
    <t>Match result</t>
  </si>
  <si>
    <t>Income</t>
  </si>
  <si>
    <t>Fulham - Nottingham Forest</t>
  </si>
  <si>
    <t>West Ham - Brentford</t>
  </si>
  <si>
    <t>Manchester City - Newcastle</t>
  </si>
  <si>
    <t>Crystal Palace - Everton</t>
  </si>
  <si>
    <t>Liverpool - Wolves</t>
  </si>
  <si>
    <t>Tottenham - Manchester United</t>
  </si>
  <si>
    <t>Bundesliga</t>
  </si>
  <si>
    <t>Werder Bremen - FSV Mainz 05</t>
  </si>
  <si>
    <t>FC Heidenheim - Borussia Dortmund</t>
  </si>
  <si>
    <t>VfB Stuttgart - Borussia Monchengladbach</t>
  </si>
  <si>
    <t>Vfl Bochum - SC Freiburg</t>
  </si>
  <si>
    <t>Union Berlin - RB Leipzig</t>
  </si>
  <si>
    <t>Eintracht Frankfurt - VfL Wolfsburg</t>
  </si>
  <si>
    <t>Bayer Leverkusen - 1899 Hoffenheim</t>
  </si>
  <si>
    <t>Serie A</t>
  </si>
  <si>
    <t>Monza - Verona</t>
  </si>
  <si>
    <t>Atalanta - Torino</t>
  </si>
  <si>
    <t>Juventus - Empoli</t>
  </si>
  <si>
    <t>Fiorentina - Genoa</t>
  </si>
  <si>
    <t>AC Milan - Inter</t>
  </si>
  <si>
    <t>AS Roma - Napoli</t>
  </si>
  <si>
    <t>Cagliari - Lazio</t>
  </si>
  <si>
    <t>La Liga</t>
  </si>
  <si>
    <t>Celta Vigo - Real Betis</t>
  </si>
  <si>
    <t>Athletic Club - Girona</t>
  </si>
  <si>
    <t>Las Palmas - Villarreal</t>
  </si>
  <si>
    <t>Real Madrid - Atletico Madrid</t>
  </si>
  <si>
    <t>Alaves - Getafe</t>
  </si>
  <si>
    <t>Sevilla - Barcelona</t>
  </si>
  <si>
    <t>Mallorca - Osasuna</t>
  </si>
  <si>
    <t>Ligue 1</t>
  </si>
  <si>
    <t>Nantes - Stade Brestois 29</t>
  </si>
  <si>
    <t>Paris Saint Germain - Monaco</t>
  </si>
  <si>
    <t>Nice - Lens</t>
  </si>
  <si>
    <t>Saint Etienne - Rennes</t>
  </si>
  <si>
    <t>Lyon - Reims</t>
  </si>
  <si>
    <t>Strasbourg - Montpellier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</si>
</sst>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69696"/>
      </patternFill>
    </fill>
    <fill>
      <patternFill patternType="solid">
        <fgColor rgb="FFCC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3" borderId="1" xfId="0" applyFill="1" applyBorder="1"/>
    <xf numFmtId="1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05"/>
  <sheetViews>
    <sheetView topLeftCell="A100" workbookViewId="0">
      <selection activeCell="O121" sqref="O121"/>
    </sheetView>
  </sheetViews>
  <sheetFormatPr defaultRowHeight="14.4"/>
  <sheetData>
    <row r="1" spans="1:13">
      <c r="A1" s="1" t="s">
        <v>0</v>
      </c>
      <c r="C1" s="1" t="s">
        <v>1</v>
      </c>
      <c r="E1" s="1">
        <f>0+C8+D8+E8</f>
        <v>-1</v>
      </c>
      <c r="G1" s="1" t="s">
        <v>2</v>
      </c>
      <c r="I1" s="1">
        <f>0+G8+H8+I8</f>
        <v>2.48</v>
      </c>
      <c r="K1" s="1" t="s">
        <v>3</v>
      </c>
      <c r="M1" s="1">
        <f>0+K8+L8+M8</f>
        <v>2.0499999999999998</v>
      </c>
    </row>
    <row r="2" spans="1:13">
      <c r="A2" t="s">
        <v>4</v>
      </c>
      <c r="C2" s="2" t="s">
        <v>5</v>
      </c>
      <c r="D2" s="2" t="s">
        <v>6</v>
      </c>
      <c r="E2" s="2" t="s">
        <v>7</v>
      </c>
      <c r="G2" s="2" t="s">
        <v>8</v>
      </c>
      <c r="H2" s="2" t="s">
        <v>9</v>
      </c>
      <c r="I2" s="2" t="s">
        <v>10</v>
      </c>
      <c r="K2" s="2" t="s">
        <v>11</v>
      </c>
      <c r="L2" s="2" t="s">
        <v>12</v>
      </c>
      <c r="M2" s="2" t="s">
        <v>13</v>
      </c>
    </row>
    <row r="3" spans="1:13">
      <c r="A3" t="s">
        <v>14</v>
      </c>
      <c r="C3" s="3">
        <v>2.9209999999999998</v>
      </c>
      <c r="D3" s="3">
        <v>3.198</v>
      </c>
      <c r="E3" s="3">
        <v>4.8600000000000003</v>
      </c>
      <c r="G3" s="3">
        <v>3.1779999999999999</v>
      </c>
      <c r="H3" s="3">
        <v>3.6680000000000001</v>
      </c>
      <c r="I3" s="3">
        <v>3.7170000000000001</v>
      </c>
      <c r="K3" s="3">
        <v>2.3370000000000002</v>
      </c>
      <c r="L3" s="3">
        <v>7.1689999999999996</v>
      </c>
      <c r="M3" s="3">
        <v>2.9350000000000001</v>
      </c>
    </row>
    <row r="4" spans="1:13">
      <c r="A4" t="s">
        <v>15</v>
      </c>
      <c r="C4" s="3">
        <v>3.11</v>
      </c>
      <c r="D4" s="3">
        <v>3.77</v>
      </c>
      <c r="E4" s="3">
        <v>2.2599999999999998</v>
      </c>
      <c r="G4" s="3">
        <v>3.48</v>
      </c>
      <c r="H4" s="3">
        <v>2.44</v>
      </c>
      <c r="I4" s="3">
        <v>2.86</v>
      </c>
      <c r="K4" s="3">
        <v>3.05</v>
      </c>
      <c r="L4" s="3">
        <v>2.92</v>
      </c>
      <c r="M4" s="3">
        <v>2.66</v>
      </c>
    </row>
    <row r="5" spans="1:13">
      <c r="A5" t="s">
        <v>16</v>
      </c>
      <c r="C5" s="3">
        <f>C4/C3</f>
        <v>1.0647038685381718</v>
      </c>
      <c r="D5" s="3">
        <f>D4/D3</f>
        <v>1.1788617886178863</v>
      </c>
      <c r="E5" s="3">
        <f>E4/E3</f>
        <v>0.46502057613168718</v>
      </c>
      <c r="G5" s="3">
        <f>G4/G3</f>
        <v>1.0950283196979231</v>
      </c>
      <c r="H5" s="3">
        <f>H4/H3</f>
        <v>0.66521264994547435</v>
      </c>
      <c r="I5" s="3">
        <f>I4/I3</f>
        <v>0.76943771859026089</v>
      </c>
      <c r="K5" s="3">
        <f>K4/K3</f>
        <v>1.3050919982884037</v>
      </c>
      <c r="L5" s="3">
        <f>L4/L3</f>
        <v>0.40730924815176456</v>
      </c>
      <c r="M5" s="3">
        <f>M4/M3</f>
        <v>0.90630323679727431</v>
      </c>
    </row>
    <row r="6" spans="1:13">
      <c r="A6" t="s">
        <v>17</v>
      </c>
      <c r="C6" s="3">
        <v>0</v>
      </c>
      <c r="D6" s="3">
        <v>1</v>
      </c>
      <c r="E6" s="3">
        <v>0</v>
      </c>
      <c r="G6" s="3">
        <v>1</v>
      </c>
      <c r="H6" s="3">
        <v>0</v>
      </c>
      <c r="I6" s="3">
        <v>0</v>
      </c>
      <c r="K6" s="3">
        <v>1</v>
      </c>
      <c r="L6" s="3">
        <v>0</v>
      </c>
      <c r="M6" s="3">
        <v>0</v>
      </c>
    </row>
    <row r="7" spans="1:13">
      <c r="A7" t="s">
        <v>18</v>
      </c>
      <c r="C7" s="3">
        <v>1</v>
      </c>
      <c r="D7" s="3">
        <v>0</v>
      </c>
      <c r="E7" s="3">
        <v>0</v>
      </c>
      <c r="G7" s="3">
        <v>1</v>
      </c>
      <c r="H7" s="3">
        <v>0</v>
      </c>
      <c r="I7" s="3">
        <v>0</v>
      </c>
      <c r="K7" s="3">
        <v>1</v>
      </c>
      <c r="L7" s="3">
        <v>0</v>
      </c>
      <c r="M7" s="3">
        <v>0</v>
      </c>
    </row>
    <row r="8" spans="1:13">
      <c r="A8" t="s">
        <v>19</v>
      </c>
      <c r="C8" s="3">
        <f>C4*C7*C6-C6</f>
        <v>0</v>
      </c>
      <c r="D8" s="3">
        <f>D4*D7*D6-D6</f>
        <v>-1</v>
      </c>
      <c r="E8" s="3">
        <f>E4*E7*E6-E6</f>
        <v>0</v>
      </c>
      <c r="G8" s="3">
        <f>G4*G7*G6-G6</f>
        <v>2.48</v>
      </c>
      <c r="H8" s="3">
        <f>H4*H7*H6-H6</f>
        <v>0</v>
      </c>
      <c r="I8" s="3">
        <f>I4*I7*I6-I6</f>
        <v>0</v>
      </c>
      <c r="K8" s="3">
        <f>K4*K7*K6-K6</f>
        <v>2.0499999999999998</v>
      </c>
      <c r="L8" s="3">
        <f>L4*L7*L6-L6</f>
        <v>0</v>
      </c>
      <c r="M8" s="3">
        <f>M4*M7*M6-M6</f>
        <v>0</v>
      </c>
    </row>
    <row r="10" spans="1:13">
      <c r="A10" s="1" t="s">
        <v>0</v>
      </c>
      <c r="C10" s="1" t="s">
        <v>1</v>
      </c>
      <c r="E10" s="1">
        <f>0+C17+D17+E17 + E1</f>
        <v>-2</v>
      </c>
      <c r="G10" s="1" t="s">
        <v>2</v>
      </c>
      <c r="I10" s="1">
        <f>0+G17+H17+I17 + I1</f>
        <v>2.48</v>
      </c>
      <c r="K10" s="1" t="s">
        <v>3</v>
      </c>
      <c r="M10" s="1">
        <f>0+K17+L17+M17 + M1</f>
        <v>2.0499999999999998</v>
      </c>
    </row>
    <row r="11" spans="1:13">
      <c r="A11" t="s">
        <v>20</v>
      </c>
      <c r="C11" s="2" t="s">
        <v>5</v>
      </c>
      <c r="D11" s="2" t="s">
        <v>6</v>
      </c>
      <c r="E11" s="2" t="s">
        <v>7</v>
      </c>
      <c r="G11" s="2" t="s">
        <v>8</v>
      </c>
      <c r="H11" s="2" t="s">
        <v>9</v>
      </c>
      <c r="I11" s="2" t="s">
        <v>10</v>
      </c>
      <c r="K11" s="2" t="s">
        <v>11</v>
      </c>
      <c r="L11" s="2" t="s">
        <v>12</v>
      </c>
      <c r="M11" s="2" t="s">
        <v>13</v>
      </c>
    </row>
    <row r="12" spans="1:13">
      <c r="A12" t="s">
        <v>14</v>
      </c>
      <c r="C12" s="3">
        <v>4.4459999999999997</v>
      </c>
      <c r="D12" s="3">
        <v>8.0920000000000005</v>
      </c>
      <c r="E12" s="3">
        <v>1.8129999999999999</v>
      </c>
      <c r="G12" s="3">
        <v>4.3330000000000002</v>
      </c>
      <c r="H12" s="3">
        <v>2.1760000000000002</v>
      </c>
      <c r="I12" s="3">
        <v>7.0140000000000002</v>
      </c>
      <c r="K12" s="3">
        <v>4.0670000000000002</v>
      </c>
      <c r="L12" s="3">
        <v>17.603999999999999</v>
      </c>
      <c r="M12" s="3">
        <v>1.403</v>
      </c>
    </row>
    <row r="13" spans="1:13">
      <c r="A13" t="s">
        <v>15</v>
      </c>
      <c r="C13" s="3">
        <v>2.27</v>
      </c>
      <c r="D13" s="3">
        <v>3.48</v>
      </c>
      <c r="E13" s="3">
        <v>3.31</v>
      </c>
      <c r="G13" s="3">
        <v>3.04</v>
      </c>
      <c r="H13" s="3">
        <v>2.15</v>
      </c>
      <c r="I13" s="3">
        <v>3.94</v>
      </c>
      <c r="K13" s="3">
        <v>0</v>
      </c>
      <c r="L13" s="3">
        <v>0</v>
      </c>
      <c r="M13" s="3">
        <v>0</v>
      </c>
    </row>
    <row r="14" spans="1:13">
      <c r="A14" t="s">
        <v>16</v>
      </c>
      <c r="C14" s="3">
        <f>C13/C12</f>
        <v>0.5105713000449843</v>
      </c>
      <c r="D14" s="3">
        <f>D13/D12</f>
        <v>0.43005437469105284</v>
      </c>
      <c r="E14" s="3">
        <f>E13/E12</f>
        <v>1.8257032542746829</v>
      </c>
      <c r="G14" s="3">
        <f>G13/G12</f>
        <v>0.7015924301869374</v>
      </c>
      <c r="H14" s="3">
        <f>H13/H12</f>
        <v>0.98805147058823517</v>
      </c>
      <c r="I14" s="3">
        <f>I13/I12</f>
        <v>0.56173367550613051</v>
      </c>
      <c r="K14" s="3">
        <f>K13/K12</f>
        <v>0</v>
      </c>
      <c r="L14" s="3">
        <f>L13/L12</f>
        <v>0</v>
      </c>
      <c r="M14" s="3">
        <f>M13/M12</f>
        <v>0</v>
      </c>
    </row>
    <row r="15" spans="1:13">
      <c r="A15" t="s">
        <v>17</v>
      </c>
      <c r="C15" s="3">
        <v>0</v>
      </c>
      <c r="D15" s="3">
        <v>0</v>
      </c>
      <c r="E15" s="3">
        <v>1</v>
      </c>
      <c r="G15" s="3">
        <v>0</v>
      </c>
      <c r="H15" s="3">
        <v>0</v>
      </c>
      <c r="I15" s="3">
        <v>0</v>
      </c>
      <c r="K15" s="3">
        <v>0</v>
      </c>
      <c r="L15" s="3">
        <v>0</v>
      </c>
      <c r="M15" s="3">
        <v>0</v>
      </c>
    </row>
    <row r="16" spans="1:13">
      <c r="A16" t="s">
        <v>18</v>
      </c>
      <c r="C16" s="3">
        <v>1</v>
      </c>
      <c r="D16" s="3">
        <v>0</v>
      </c>
      <c r="E16" s="3">
        <v>0</v>
      </c>
      <c r="G16" s="3">
        <v>0</v>
      </c>
      <c r="H16" s="3">
        <v>0</v>
      </c>
      <c r="I16" s="3">
        <v>0</v>
      </c>
      <c r="K16" s="3">
        <v>0</v>
      </c>
      <c r="L16" s="3">
        <v>0</v>
      </c>
      <c r="M16" s="3">
        <v>0</v>
      </c>
    </row>
    <row r="17" spans="1:13">
      <c r="A17" t="s">
        <v>19</v>
      </c>
      <c r="C17" s="3">
        <f>C13*C16*C15-C15</f>
        <v>0</v>
      </c>
      <c r="D17" s="3">
        <f>D13*D16*D15-D15</f>
        <v>0</v>
      </c>
      <c r="E17" s="3">
        <f>E13*E16*E15-E15</f>
        <v>-1</v>
      </c>
      <c r="G17" s="3">
        <f>G13*G16*G15-G15</f>
        <v>0</v>
      </c>
      <c r="H17" s="3">
        <f>H13*H16*H15-H15</f>
        <v>0</v>
      </c>
      <c r="I17" s="3">
        <f>I13*I16*I15-I15</f>
        <v>0</v>
      </c>
      <c r="K17" s="3">
        <f>K13*K16*K15-K15</f>
        <v>0</v>
      </c>
      <c r="L17" s="3">
        <f>L13*L16*L15-L15</f>
        <v>0</v>
      </c>
      <c r="M17" s="3">
        <f>M13*M16*M15-M15</f>
        <v>0</v>
      </c>
    </row>
    <row r="19" spans="1:13">
      <c r="A19" s="1" t="s">
        <v>0</v>
      </c>
      <c r="C19" s="1" t="s">
        <v>1</v>
      </c>
      <c r="E19" s="1">
        <f>0+C26+D26+E26 + E10</f>
        <v>-3</v>
      </c>
      <c r="G19" s="1" t="s">
        <v>2</v>
      </c>
      <c r="I19" s="1">
        <f>0+G26+H26+I26 + I10</f>
        <v>1.48</v>
      </c>
      <c r="K19" s="1" t="s">
        <v>3</v>
      </c>
      <c r="M19" s="1">
        <f>0+K26+L26+M26 + M10</f>
        <v>3.9699999999999998</v>
      </c>
    </row>
    <row r="20" spans="1:13">
      <c r="A20" t="s">
        <v>21</v>
      </c>
      <c r="C20" s="2" t="s">
        <v>5</v>
      </c>
      <c r="D20" s="2" t="s">
        <v>6</v>
      </c>
      <c r="E20" s="2" t="s">
        <v>7</v>
      </c>
      <c r="G20" s="2" t="s">
        <v>8</v>
      </c>
      <c r="H20" s="2" t="s">
        <v>9</v>
      </c>
      <c r="I20" s="2" t="s">
        <v>10</v>
      </c>
      <c r="K20" s="2" t="s">
        <v>11</v>
      </c>
      <c r="L20" s="2" t="s">
        <v>12</v>
      </c>
      <c r="M20" s="2" t="s">
        <v>13</v>
      </c>
    </row>
    <row r="21" spans="1:13">
      <c r="A21" t="s">
        <v>14</v>
      </c>
      <c r="C21" s="3">
        <v>2.0099999999999998</v>
      </c>
      <c r="D21" s="3">
        <v>6.5270000000000001</v>
      </c>
      <c r="E21" s="3">
        <v>4.5670000000000002</v>
      </c>
      <c r="G21" s="3">
        <v>2.9580000000000002</v>
      </c>
      <c r="H21" s="3">
        <v>2.8820000000000001</v>
      </c>
      <c r="I21" s="3">
        <v>5.95</v>
      </c>
      <c r="K21" s="3">
        <v>5.2290000000000001</v>
      </c>
      <c r="L21" s="3">
        <v>2.1280000000000001</v>
      </c>
      <c r="M21" s="3">
        <v>4.5380000000000003</v>
      </c>
    </row>
    <row r="22" spans="1:13">
      <c r="A22" t="s">
        <v>15</v>
      </c>
      <c r="C22" s="3">
        <v>2.4</v>
      </c>
      <c r="D22" s="3">
        <v>3.67</v>
      </c>
      <c r="E22" s="3">
        <v>2.93</v>
      </c>
      <c r="G22" s="3">
        <v>2.96</v>
      </c>
      <c r="H22" s="3">
        <v>2.44</v>
      </c>
      <c r="I22" s="3">
        <v>3.34</v>
      </c>
      <c r="K22" s="3">
        <v>2.66</v>
      </c>
      <c r="L22" s="3">
        <v>2.92</v>
      </c>
      <c r="M22" s="3">
        <v>3.05</v>
      </c>
    </row>
    <row r="23" spans="1:13">
      <c r="A23" t="s">
        <v>16</v>
      </c>
      <c r="C23" s="3">
        <f>C22/C21</f>
        <v>1.1940298507462688</v>
      </c>
      <c r="D23" s="3">
        <f>D22/D21</f>
        <v>0.56227976099279908</v>
      </c>
      <c r="E23" s="3">
        <f>E22/E21</f>
        <v>0.64155901029121964</v>
      </c>
      <c r="G23" s="3">
        <f>G22/G21</f>
        <v>1.0006761325219742</v>
      </c>
      <c r="H23" s="3">
        <f>H22/H21</f>
        <v>0.84663428174878552</v>
      </c>
      <c r="I23" s="3">
        <f>I22/I21</f>
        <v>0.56134453781512605</v>
      </c>
      <c r="K23" s="3">
        <f>K22/K21</f>
        <v>0.50870147255689424</v>
      </c>
      <c r="L23" s="3">
        <f>L22/L21</f>
        <v>1.3721804511278195</v>
      </c>
      <c r="M23" s="3">
        <f>M22/M21</f>
        <v>0.6721022476862053</v>
      </c>
    </row>
    <row r="24" spans="1:13">
      <c r="A24" t="s">
        <v>17</v>
      </c>
      <c r="C24" s="3">
        <v>1</v>
      </c>
      <c r="D24" s="3">
        <v>0</v>
      </c>
      <c r="E24" s="3">
        <v>0</v>
      </c>
      <c r="G24" s="3">
        <v>1</v>
      </c>
      <c r="H24" s="3">
        <v>0</v>
      </c>
      <c r="I24" s="3">
        <v>0</v>
      </c>
      <c r="K24" s="3">
        <v>0</v>
      </c>
      <c r="L24" s="3">
        <v>1</v>
      </c>
      <c r="M24" s="3">
        <v>0</v>
      </c>
    </row>
    <row r="25" spans="1:13">
      <c r="A25" t="s">
        <v>18</v>
      </c>
      <c r="C25" s="3">
        <v>0</v>
      </c>
      <c r="D25" s="3">
        <v>0</v>
      </c>
      <c r="E25" s="3">
        <v>1</v>
      </c>
      <c r="G25" s="3">
        <v>0</v>
      </c>
      <c r="H25" s="3">
        <v>0</v>
      </c>
      <c r="I25" s="3">
        <v>1</v>
      </c>
      <c r="K25" s="3">
        <v>0</v>
      </c>
      <c r="L25" s="3">
        <v>1</v>
      </c>
      <c r="M25" s="3">
        <v>0</v>
      </c>
    </row>
    <row r="26" spans="1:13">
      <c r="A26" t="s">
        <v>19</v>
      </c>
      <c r="C26" s="3">
        <f>C22*C25*C24-C24</f>
        <v>-1</v>
      </c>
      <c r="D26" s="3">
        <f>D22*D25*D24-D24</f>
        <v>0</v>
      </c>
      <c r="E26" s="3">
        <f>E22*E25*E24-E24</f>
        <v>0</v>
      </c>
      <c r="G26" s="3">
        <f>G22*G25*G24-G24</f>
        <v>-1</v>
      </c>
      <c r="H26" s="3">
        <f>H22*H25*H24-H24</f>
        <v>0</v>
      </c>
      <c r="I26" s="3">
        <f>I22*I25*I24-I24</f>
        <v>0</v>
      </c>
      <c r="K26" s="3">
        <f>K22*K25*K24-K24</f>
        <v>0</v>
      </c>
      <c r="L26" s="3">
        <f>L22*L25*L24-L24</f>
        <v>1.92</v>
      </c>
      <c r="M26" s="3">
        <f>M22*M25*M24-M24</f>
        <v>0</v>
      </c>
    </row>
    <row r="28" spans="1:13">
      <c r="A28" s="1" t="s">
        <v>0</v>
      </c>
      <c r="C28" s="1" t="s">
        <v>1</v>
      </c>
      <c r="E28" s="1">
        <f>0+C35+D35+E35 + E19</f>
        <v>-1.6</v>
      </c>
      <c r="G28" s="1" t="s">
        <v>2</v>
      </c>
      <c r="I28" s="1">
        <f>0+G35+H35+I35 + I19</f>
        <v>3.44</v>
      </c>
      <c r="K28" s="1" t="s">
        <v>3</v>
      </c>
      <c r="M28" s="1">
        <f>0+K35+L35+M35 + M19</f>
        <v>5.63</v>
      </c>
    </row>
    <row r="29" spans="1:13">
      <c r="A29" t="s">
        <v>22</v>
      </c>
      <c r="C29" s="2" t="s">
        <v>5</v>
      </c>
      <c r="D29" s="2" t="s">
        <v>6</v>
      </c>
      <c r="E29" s="2" t="s">
        <v>7</v>
      </c>
      <c r="G29" s="2" t="s">
        <v>8</v>
      </c>
      <c r="H29" s="2" t="s">
        <v>9</v>
      </c>
      <c r="I29" s="2" t="s">
        <v>10</v>
      </c>
      <c r="K29" s="2" t="s">
        <v>11</v>
      </c>
      <c r="L29" s="2" t="s">
        <v>12</v>
      </c>
      <c r="M29" s="2" t="s">
        <v>13</v>
      </c>
    </row>
    <row r="30" spans="1:13">
      <c r="A30" t="s">
        <v>14</v>
      </c>
      <c r="C30" s="3">
        <v>1.3520000000000001</v>
      </c>
      <c r="D30" s="3">
        <v>15.37</v>
      </c>
      <c r="E30" s="3">
        <v>5.2320000000000002</v>
      </c>
      <c r="G30" s="3">
        <v>1.544</v>
      </c>
      <c r="H30" s="3">
        <v>4.8879999999999999</v>
      </c>
      <c r="I30" s="3">
        <v>10.381</v>
      </c>
      <c r="K30" s="3">
        <v>2.0289999999999999</v>
      </c>
      <c r="L30" s="3">
        <v>4.4359999999999999</v>
      </c>
      <c r="M30" s="3">
        <v>6.5659999999999998</v>
      </c>
    </row>
    <row r="31" spans="1:13">
      <c r="A31" t="s">
        <v>15</v>
      </c>
      <c r="C31" s="3">
        <v>2.4</v>
      </c>
      <c r="D31" s="3">
        <v>3.67</v>
      </c>
      <c r="E31" s="3">
        <v>2.93</v>
      </c>
      <c r="G31" s="3">
        <v>2.96</v>
      </c>
      <c r="H31" s="3">
        <v>2.44</v>
      </c>
      <c r="I31" s="3">
        <v>3.34</v>
      </c>
      <c r="K31" s="3">
        <v>2.66</v>
      </c>
      <c r="L31" s="3">
        <v>2.92</v>
      </c>
      <c r="M31" s="3">
        <v>3.05</v>
      </c>
    </row>
    <row r="32" spans="1:13">
      <c r="A32" t="s">
        <v>16</v>
      </c>
      <c r="C32" s="3">
        <f>C31/C30</f>
        <v>1.7751479289940826</v>
      </c>
      <c r="D32" s="3">
        <f>D31/D30</f>
        <v>0.23877683799609631</v>
      </c>
      <c r="E32" s="3">
        <f>E31/E30</f>
        <v>0.56001529051987764</v>
      </c>
      <c r="G32" s="3">
        <f>G31/G30</f>
        <v>1.9170984455958548</v>
      </c>
      <c r="H32" s="3">
        <f>H31/H30</f>
        <v>0.49918166939443537</v>
      </c>
      <c r="I32" s="3">
        <f>I31/I30</f>
        <v>0.32174164338695693</v>
      </c>
      <c r="K32" s="3">
        <f>K31/K30</f>
        <v>1.3109906357811731</v>
      </c>
      <c r="L32" s="3">
        <f>L31/L30</f>
        <v>0.65825067628494138</v>
      </c>
      <c r="M32" s="3">
        <f>M31/M30</f>
        <v>0.464514163874505</v>
      </c>
    </row>
    <row r="33" spans="1:13">
      <c r="A33" t="s">
        <v>17</v>
      </c>
      <c r="C33" s="3">
        <v>1</v>
      </c>
      <c r="D33" s="3">
        <v>0</v>
      </c>
      <c r="E33" s="3">
        <v>0</v>
      </c>
      <c r="G33" s="3">
        <v>1</v>
      </c>
      <c r="H33" s="3">
        <v>0</v>
      </c>
      <c r="I33" s="3">
        <v>0</v>
      </c>
      <c r="K33" s="3">
        <v>1</v>
      </c>
      <c r="L33" s="3">
        <v>0</v>
      </c>
      <c r="M33" s="3">
        <v>0</v>
      </c>
    </row>
    <row r="34" spans="1:13">
      <c r="A34" t="s">
        <v>18</v>
      </c>
      <c r="C34" s="3">
        <v>1</v>
      </c>
      <c r="D34" s="3">
        <v>0</v>
      </c>
      <c r="E34" s="3">
        <v>0</v>
      </c>
      <c r="G34" s="3">
        <v>1</v>
      </c>
      <c r="H34" s="3">
        <v>0</v>
      </c>
      <c r="I34" s="3">
        <v>0</v>
      </c>
      <c r="K34" s="3">
        <v>1</v>
      </c>
      <c r="L34" s="3">
        <v>0</v>
      </c>
      <c r="M34" s="3">
        <v>0</v>
      </c>
    </row>
    <row r="35" spans="1:13">
      <c r="A35" t="s">
        <v>19</v>
      </c>
      <c r="C35" s="3">
        <f>C31*C34*C33-C33</f>
        <v>1.4</v>
      </c>
      <c r="D35" s="3">
        <f>D31*D34*D33-D33</f>
        <v>0</v>
      </c>
      <c r="E35" s="3">
        <f>E31*E34*E33-E33</f>
        <v>0</v>
      </c>
      <c r="G35" s="3">
        <f>G31*G34*G33-G33</f>
        <v>1.96</v>
      </c>
      <c r="H35" s="3">
        <f>H31*H34*H33-H33</f>
        <v>0</v>
      </c>
      <c r="I35" s="3">
        <f>I31*I34*I33-I33</f>
        <v>0</v>
      </c>
      <c r="K35" s="3">
        <f>K31*K34*K33-K33</f>
        <v>1.6600000000000001</v>
      </c>
      <c r="L35" s="3">
        <f>L31*L34*L33-L33</f>
        <v>0</v>
      </c>
      <c r="M35" s="3">
        <f>M31*M34*M33-M33</f>
        <v>0</v>
      </c>
    </row>
    <row r="37" spans="1:13">
      <c r="A37" s="1" t="s">
        <v>0</v>
      </c>
      <c r="C37" s="1" t="s">
        <v>1</v>
      </c>
      <c r="E37" s="1">
        <f>0+C44+D44+E44 + E28</f>
        <v>-2.6</v>
      </c>
      <c r="G37" s="1" t="s">
        <v>2</v>
      </c>
      <c r="I37" s="1">
        <f>0+G44+H44+I44 + I28</f>
        <v>2.44</v>
      </c>
      <c r="K37" s="1" t="s">
        <v>3</v>
      </c>
      <c r="M37" s="1">
        <f>0+K44+L44+M44 + M28</f>
        <v>4.63</v>
      </c>
    </row>
    <row r="38" spans="1:13">
      <c r="A38" t="s">
        <v>23</v>
      </c>
      <c r="C38" s="2" t="s">
        <v>5</v>
      </c>
      <c r="D38" s="2" t="s">
        <v>6</v>
      </c>
      <c r="E38" s="2" t="s">
        <v>7</v>
      </c>
      <c r="G38" s="2" t="s">
        <v>8</v>
      </c>
      <c r="H38" s="2" t="s">
        <v>9</v>
      </c>
      <c r="I38" s="2" t="s">
        <v>10</v>
      </c>
      <c r="K38" s="2" t="s">
        <v>11</v>
      </c>
      <c r="L38" s="2" t="s">
        <v>12</v>
      </c>
      <c r="M38" s="2" t="s">
        <v>13</v>
      </c>
    </row>
    <row r="39" spans="1:13">
      <c r="A39" t="s">
        <v>14</v>
      </c>
      <c r="C39" s="3">
        <v>2.1659999999999999</v>
      </c>
      <c r="D39" s="3">
        <v>3.617</v>
      </c>
      <c r="E39" s="3">
        <v>6.5860000000000003</v>
      </c>
      <c r="G39" s="3">
        <v>5.8869999999999996</v>
      </c>
      <c r="H39" s="3">
        <v>1.974</v>
      </c>
      <c r="I39" s="3">
        <v>4.6710000000000003</v>
      </c>
      <c r="K39" s="3">
        <v>1.9390000000000001</v>
      </c>
      <c r="L39" s="3">
        <v>3.6789999999999998</v>
      </c>
      <c r="M39" s="3">
        <v>8.2159999999999993</v>
      </c>
    </row>
    <row r="40" spans="1:13">
      <c r="A40" t="s">
        <v>15</v>
      </c>
      <c r="C40" s="3">
        <v>2.09</v>
      </c>
      <c r="D40" s="3">
        <v>3.17</v>
      </c>
      <c r="E40" s="3">
        <v>4.22</v>
      </c>
      <c r="G40" s="3">
        <v>2.92</v>
      </c>
      <c r="H40" s="3">
        <v>2.0299999999999998</v>
      </c>
      <c r="I40" s="3">
        <v>4.74</v>
      </c>
      <c r="K40" s="3">
        <v>2.46</v>
      </c>
      <c r="L40" s="3">
        <v>2.46</v>
      </c>
      <c r="M40" s="3">
        <v>4.28</v>
      </c>
    </row>
    <row r="41" spans="1:13">
      <c r="A41" t="s">
        <v>16</v>
      </c>
      <c r="C41" s="3">
        <f>C40/C39</f>
        <v>0.96491228070175439</v>
      </c>
      <c r="D41" s="3">
        <f>D40/D39</f>
        <v>0.87641692009952998</v>
      </c>
      <c r="E41" s="3">
        <f>E40/E39</f>
        <v>0.64075311266322499</v>
      </c>
      <c r="G41" s="3">
        <f>G40/G39</f>
        <v>0.49600815355868866</v>
      </c>
      <c r="H41" s="3">
        <f>H40/H39</f>
        <v>1.028368794326241</v>
      </c>
      <c r="I41" s="3">
        <f>I40/I39</f>
        <v>1.014771997430957</v>
      </c>
      <c r="K41" s="3">
        <f>K40/K39</f>
        <v>1.2686952037132542</v>
      </c>
      <c r="L41" s="3">
        <f>L40/L39</f>
        <v>0.66865996194618105</v>
      </c>
      <c r="M41" s="3">
        <f>M40/M39</f>
        <v>0.52093476144109063</v>
      </c>
    </row>
    <row r="42" spans="1:13">
      <c r="A42" t="s">
        <v>17</v>
      </c>
      <c r="C42" s="3">
        <v>1</v>
      </c>
      <c r="D42" s="3">
        <v>0</v>
      </c>
      <c r="E42" s="3">
        <v>0</v>
      </c>
      <c r="G42" s="3">
        <v>0</v>
      </c>
      <c r="H42" s="3">
        <v>1</v>
      </c>
      <c r="I42" s="3">
        <v>0</v>
      </c>
      <c r="K42" s="3">
        <v>1</v>
      </c>
      <c r="L42" s="3">
        <v>0</v>
      </c>
      <c r="M42" s="3">
        <v>0</v>
      </c>
    </row>
    <row r="43" spans="1:13">
      <c r="A43" t="s">
        <v>18</v>
      </c>
      <c r="C43" s="3">
        <v>0</v>
      </c>
      <c r="D43" s="3">
        <v>0</v>
      </c>
      <c r="E43" s="3">
        <v>1</v>
      </c>
      <c r="G43" s="3">
        <v>0</v>
      </c>
      <c r="H43" s="3">
        <v>0</v>
      </c>
      <c r="I43" s="3">
        <v>1</v>
      </c>
      <c r="K43" s="3">
        <v>0</v>
      </c>
      <c r="L43" s="3">
        <v>1</v>
      </c>
      <c r="M43" s="3">
        <v>0</v>
      </c>
    </row>
    <row r="44" spans="1:13">
      <c r="A44" t="s">
        <v>19</v>
      </c>
      <c r="C44" s="3">
        <f>C40*C43*C42-C42</f>
        <v>-1</v>
      </c>
      <c r="D44" s="3">
        <f>D40*D43*D42-D42</f>
        <v>0</v>
      </c>
      <c r="E44" s="3">
        <f>E40*E43*E42-E42</f>
        <v>0</v>
      </c>
      <c r="G44" s="3">
        <f>G40*G43*G42-G42</f>
        <v>0</v>
      </c>
      <c r="H44" s="3">
        <f>H40*H43*H42-H42</f>
        <v>-1</v>
      </c>
      <c r="I44" s="3">
        <f>I40*I43*I42-I42</f>
        <v>0</v>
      </c>
      <c r="K44" s="3">
        <f>K40*K43*K42-K42</f>
        <v>-1</v>
      </c>
      <c r="L44" s="3">
        <f>L40*L43*L42-L42</f>
        <v>0</v>
      </c>
      <c r="M44" s="3">
        <f>M40*M43*M42-M42</f>
        <v>0</v>
      </c>
    </row>
    <row r="46" spans="1:13">
      <c r="A46" s="1" t="s">
        <v>0</v>
      </c>
      <c r="C46" s="1" t="s">
        <v>1</v>
      </c>
      <c r="E46" s="1">
        <f>0+C53+D53+E53 + E37</f>
        <v>-2.6</v>
      </c>
      <c r="G46" s="1" t="s">
        <v>2</v>
      </c>
      <c r="I46" s="1">
        <f>0+G53+H53+I53 + I37</f>
        <v>2.44</v>
      </c>
      <c r="K46" s="1" t="s">
        <v>3</v>
      </c>
      <c r="M46" s="1">
        <f>0+K53+L53+M53 + M37</f>
        <v>4.63</v>
      </c>
    </row>
    <row r="47" spans="1:13">
      <c r="A47" t="s">
        <v>24</v>
      </c>
      <c r="C47" s="2" t="s">
        <v>5</v>
      </c>
      <c r="D47" s="2" t="s">
        <v>6</v>
      </c>
      <c r="E47" s="2" t="s">
        <v>7</v>
      </c>
      <c r="G47" s="2" t="s">
        <v>8</v>
      </c>
      <c r="H47" s="2" t="s">
        <v>9</v>
      </c>
      <c r="I47" s="2" t="s">
        <v>10</v>
      </c>
      <c r="K47" s="2" t="s">
        <v>11</v>
      </c>
      <c r="L47" s="2" t="s">
        <v>12</v>
      </c>
      <c r="M47" s="2" t="s">
        <v>13</v>
      </c>
    </row>
    <row r="48" spans="1:13">
      <c r="A48" t="s">
        <v>14</v>
      </c>
      <c r="C48" s="3">
        <v>1.31</v>
      </c>
      <c r="D48" s="3">
        <v>6.883</v>
      </c>
      <c r="E48" s="3">
        <v>14.984999999999999</v>
      </c>
      <c r="G48" s="3">
        <v>2.8180000000000001</v>
      </c>
      <c r="H48" s="3">
        <v>1.931</v>
      </c>
      <c r="I48" s="3">
        <v>12.952</v>
      </c>
      <c r="K48" s="3">
        <v>1.494</v>
      </c>
      <c r="L48" s="3">
        <v>5.883</v>
      </c>
      <c r="M48" s="3">
        <v>10.472</v>
      </c>
    </row>
    <row r="49" spans="1:13">
      <c r="A49" t="s">
        <v>15</v>
      </c>
      <c r="C49" s="3">
        <v>2.09</v>
      </c>
      <c r="D49" s="3">
        <v>3.17</v>
      </c>
      <c r="E49" s="3">
        <v>4.22</v>
      </c>
      <c r="G49" s="3">
        <v>2.92</v>
      </c>
      <c r="H49" s="3">
        <v>2.0299999999999998</v>
      </c>
      <c r="I49" s="3">
        <v>4.74</v>
      </c>
      <c r="K49" s="3">
        <v>2.46</v>
      </c>
      <c r="L49" s="3">
        <v>2.46</v>
      </c>
      <c r="M49" s="3">
        <v>4.28</v>
      </c>
    </row>
    <row r="50" spans="1:13">
      <c r="A50" t="s">
        <v>16</v>
      </c>
      <c r="C50" s="3">
        <f>C49/C48</f>
        <v>1.5954198473282442</v>
      </c>
      <c r="D50" s="3">
        <f>D49/D48</f>
        <v>0.46055499055644339</v>
      </c>
      <c r="E50" s="3">
        <f>E49/E48</f>
        <v>0.28161494828161493</v>
      </c>
      <c r="G50" s="3">
        <f>G49/G48</f>
        <v>1.0361958836053939</v>
      </c>
      <c r="H50" s="3">
        <f>H49/H48</f>
        <v>1.0512687726566545</v>
      </c>
      <c r="I50" s="3">
        <f>I49/I48</f>
        <v>0.36596664607782586</v>
      </c>
      <c r="K50" s="3">
        <f>K49/K48</f>
        <v>1.6465863453815262</v>
      </c>
      <c r="L50" s="3">
        <f>L49/L48</f>
        <v>0.41815400305966344</v>
      </c>
      <c r="M50" s="3">
        <f>M49/M48</f>
        <v>0.40870893812070286</v>
      </c>
    </row>
    <row r="51" spans="1:13">
      <c r="A51" t="s">
        <v>17</v>
      </c>
      <c r="C51" s="3">
        <v>0</v>
      </c>
      <c r="D51" s="3">
        <v>0</v>
      </c>
      <c r="E51" s="3">
        <v>0</v>
      </c>
      <c r="G51" s="3">
        <v>0</v>
      </c>
      <c r="H51" s="3">
        <v>0</v>
      </c>
      <c r="I51" s="3">
        <v>0</v>
      </c>
      <c r="K51" s="3">
        <v>0</v>
      </c>
      <c r="L51" s="3">
        <v>0</v>
      </c>
      <c r="M51" s="3">
        <v>0</v>
      </c>
    </row>
    <row r="52" spans="1:13">
      <c r="A52" t="s">
        <v>18</v>
      </c>
      <c r="C52" s="3">
        <v>0</v>
      </c>
      <c r="D52" s="3">
        <v>0</v>
      </c>
      <c r="E52" s="3">
        <v>0</v>
      </c>
      <c r="G52" s="3">
        <v>0</v>
      </c>
      <c r="H52" s="3">
        <v>0</v>
      </c>
      <c r="I52" s="3">
        <v>0</v>
      </c>
      <c r="K52" s="3">
        <v>0</v>
      </c>
      <c r="L52" s="3">
        <v>0</v>
      </c>
      <c r="M52" s="3">
        <v>0</v>
      </c>
    </row>
    <row r="53" spans="1:13">
      <c r="A53" t="s">
        <v>19</v>
      </c>
      <c r="C53" s="3">
        <f>C49*C52*C51-C51</f>
        <v>0</v>
      </c>
      <c r="D53" s="3">
        <f>D49*D52*D51-D51</f>
        <v>0</v>
      </c>
      <c r="E53" s="3">
        <f>E49*E52*E51-E51</f>
        <v>0</v>
      </c>
      <c r="G53" s="3">
        <f>G49*G52*G51-G51</f>
        <v>0</v>
      </c>
      <c r="H53" s="3">
        <f>H49*H52*H51-H51</f>
        <v>0</v>
      </c>
      <c r="I53" s="3">
        <f>I49*I52*I51-I51</f>
        <v>0</v>
      </c>
      <c r="K53" s="3">
        <f>K49*K52*K51-K51</f>
        <v>0</v>
      </c>
      <c r="L53" s="3">
        <f>L49*L52*L51-L51</f>
        <v>0</v>
      </c>
      <c r="M53" s="3">
        <f>M49*M52*M51-M51</f>
        <v>0</v>
      </c>
    </row>
    <row r="55" spans="1:13">
      <c r="A55" s="1" t="s">
        <v>0</v>
      </c>
      <c r="C55" s="1" t="s">
        <v>1</v>
      </c>
      <c r="E55" s="1">
        <f>0+C62+D62+E62 + E46</f>
        <v>-2.6</v>
      </c>
      <c r="G55" s="1" t="s">
        <v>2</v>
      </c>
      <c r="I55" s="1">
        <f>0+G62+H62+I62 + I46</f>
        <v>2.44</v>
      </c>
      <c r="K55" s="1" t="s">
        <v>3</v>
      </c>
      <c r="M55" s="1">
        <f>0+K62+L62+M62 + M46</f>
        <v>4.63</v>
      </c>
    </row>
    <row r="56" spans="1:13">
      <c r="A56" t="s">
        <v>25</v>
      </c>
      <c r="C56" s="2" t="s">
        <v>5</v>
      </c>
      <c r="D56" s="2" t="s">
        <v>6</v>
      </c>
      <c r="E56" s="2" t="s">
        <v>7</v>
      </c>
      <c r="G56" s="2" t="s">
        <v>8</v>
      </c>
      <c r="H56" s="2" t="s">
        <v>9</v>
      </c>
      <c r="I56" s="2" t="s">
        <v>10</v>
      </c>
      <c r="K56" s="2" t="s">
        <v>11</v>
      </c>
      <c r="L56" s="2" t="s">
        <v>12</v>
      </c>
      <c r="M56" s="2" t="s">
        <v>13</v>
      </c>
    </row>
    <row r="57" spans="1:13">
      <c r="A57" t="s">
        <v>14</v>
      </c>
      <c r="C57" s="3">
        <v>1.952</v>
      </c>
      <c r="D57" s="3">
        <v>4.3230000000000004</v>
      </c>
      <c r="E57" s="3">
        <v>6.6630000000000003</v>
      </c>
      <c r="G57" s="3">
        <v>4.1319999999999997</v>
      </c>
      <c r="H57" s="3">
        <v>1.948</v>
      </c>
      <c r="I57" s="3">
        <v>8.0510000000000002</v>
      </c>
      <c r="K57" s="3">
        <v>2.4329999999999998</v>
      </c>
      <c r="L57" s="3">
        <v>4.3239999999999998</v>
      </c>
      <c r="M57" s="3">
        <v>4.72</v>
      </c>
    </row>
    <row r="58" spans="1:13">
      <c r="A58" t="s">
        <v>15</v>
      </c>
      <c r="C58" s="3">
        <v>0</v>
      </c>
      <c r="D58" s="3">
        <v>0</v>
      </c>
      <c r="E58" s="3">
        <v>0</v>
      </c>
      <c r="G58" s="3">
        <v>0</v>
      </c>
      <c r="H58" s="3">
        <v>0</v>
      </c>
      <c r="I58" s="3">
        <v>0</v>
      </c>
      <c r="K58" s="3">
        <v>0</v>
      </c>
      <c r="L58" s="3">
        <v>0</v>
      </c>
      <c r="M58" s="3">
        <v>0</v>
      </c>
    </row>
    <row r="59" spans="1:13">
      <c r="A59" t="s">
        <v>16</v>
      </c>
      <c r="C59" s="3">
        <f>C58/C57</f>
        <v>0</v>
      </c>
      <c r="D59" s="3">
        <f>D58/D57</f>
        <v>0</v>
      </c>
      <c r="E59" s="3">
        <f>E58/E57</f>
        <v>0</v>
      </c>
      <c r="G59" s="3">
        <f>G58/G57</f>
        <v>0</v>
      </c>
      <c r="H59" s="3">
        <f>H58/H57</f>
        <v>0</v>
      </c>
      <c r="I59" s="3">
        <f>I58/I57</f>
        <v>0</v>
      </c>
      <c r="K59" s="3">
        <f>K58/K57</f>
        <v>0</v>
      </c>
      <c r="L59" s="3">
        <f>L58/L57</f>
        <v>0</v>
      </c>
      <c r="M59" s="3">
        <f>M58/M57</f>
        <v>0</v>
      </c>
    </row>
    <row r="60" spans="1:13">
      <c r="A60" t="s">
        <v>17</v>
      </c>
      <c r="C60" s="3">
        <v>0</v>
      </c>
      <c r="D60" s="3">
        <v>0</v>
      </c>
      <c r="E60" s="3">
        <v>0</v>
      </c>
      <c r="G60" s="3">
        <v>0</v>
      </c>
      <c r="H60" s="3">
        <v>0</v>
      </c>
      <c r="I60" s="3">
        <v>0</v>
      </c>
      <c r="K60" s="3">
        <v>0</v>
      </c>
      <c r="L60" s="3">
        <v>0</v>
      </c>
      <c r="M60" s="3">
        <v>0</v>
      </c>
    </row>
    <row r="61" spans="1:13">
      <c r="A61" t="s">
        <v>18</v>
      </c>
      <c r="C61" s="3">
        <v>0</v>
      </c>
      <c r="D61" s="3">
        <v>0</v>
      </c>
      <c r="E61" s="3">
        <v>0</v>
      </c>
      <c r="G61" s="3">
        <v>0</v>
      </c>
      <c r="H61" s="3">
        <v>0</v>
      </c>
      <c r="I61" s="3">
        <v>0</v>
      </c>
      <c r="K61" s="3">
        <v>0</v>
      </c>
      <c r="L61" s="3">
        <v>0</v>
      </c>
      <c r="M61" s="3">
        <v>0</v>
      </c>
    </row>
    <row r="62" spans="1:13">
      <c r="A62" t="s">
        <v>19</v>
      </c>
      <c r="C62" s="3">
        <f>C58*C61*C60-C60</f>
        <v>0</v>
      </c>
      <c r="D62" s="3">
        <f>D58*D61*D60-D60</f>
        <v>0</v>
      </c>
      <c r="E62" s="3">
        <f>E58*E61*E60-E60</f>
        <v>0</v>
      </c>
      <c r="G62" s="3">
        <f>G58*G61*G60-G60</f>
        <v>0</v>
      </c>
      <c r="H62" s="3">
        <f>H58*H61*H60-H60</f>
        <v>0</v>
      </c>
      <c r="I62" s="3">
        <f>I58*I61*I60-I60</f>
        <v>0</v>
      </c>
      <c r="K62" s="3">
        <f>K58*K61*K60-K60</f>
        <v>0</v>
      </c>
      <c r="L62" s="3">
        <f>L58*L61*L60-L60</f>
        <v>0</v>
      </c>
      <c r="M62" s="3">
        <f>M58*M61*M60-M60</f>
        <v>0</v>
      </c>
    </row>
    <row r="64" spans="1:13">
      <c r="A64" s="1" t="s">
        <v>26</v>
      </c>
      <c r="C64" s="1" t="s">
        <v>1</v>
      </c>
      <c r="E64" s="1">
        <f>0+C71+D71+E71 + E55</f>
        <v>-2.6</v>
      </c>
      <c r="G64" s="1" t="s">
        <v>2</v>
      </c>
      <c r="I64" s="1">
        <f>0+G71+H71+I71 + I55</f>
        <v>2.44</v>
      </c>
      <c r="K64" s="1" t="s">
        <v>3</v>
      </c>
      <c r="M64" s="1">
        <f>0+K71+L71+M71 + M55</f>
        <v>4.63</v>
      </c>
    </row>
    <row r="65" spans="1:13">
      <c r="A65" t="s">
        <v>27</v>
      </c>
      <c r="C65" s="2" t="s">
        <v>5</v>
      </c>
      <c r="D65" s="2" t="s">
        <v>6</v>
      </c>
      <c r="E65" s="2" t="s">
        <v>7</v>
      </c>
      <c r="G65" s="2" t="s">
        <v>8</v>
      </c>
      <c r="H65" s="2" t="s">
        <v>9</v>
      </c>
      <c r="I65" s="2" t="s">
        <v>10</v>
      </c>
      <c r="K65" s="2" t="s">
        <v>11</v>
      </c>
      <c r="L65" s="2" t="s">
        <v>12</v>
      </c>
      <c r="M65" s="2" t="s">
        <v>13</v>
      </c>
    </row>
    <row r="66" spans="1:13">
      <c r="A66" t="s">
        <v>14</v>
      </c>
      <c r="C66" s="3">
        <v>8.4629999999999992</v>
      </c>
      <c r="D66" s="3">
        <v>1.661</v>
      </c>
      <c r="E66" s="3">
        <v>4.7690000000000001</v>
      </c>
      <c r="G66" s="3">
        <v>7.6909999999999998</v>
      </c>
      <c r="H66" s="3">
        <v>2.1219999999999999</v>
      </c>
      <c r="I66" s="3">
        <v>3.2170000000000001</v>
      </c>
      <c r="K66" s="3">
        <v>5.4589999999999996</v>
      </c>
      <c r="L66" s="3">
        <v>1.7989999999999999</v>
      </c>
      <c r="M66" s="3">
        <v>5.4429999999999996</v>
      </c>
    </row>
    <row r="67" spans="1:13">
      <c r="A67" t="s">
        <v>15</v>
      </c>
      <c r="C67" s="3">
        <v>0</v>
      </c>
      <c r="D67" s="3">
        <v>0</v>
      </c>
      <c r="E67" s="3">
        <v>0</v>
      </c>
      <c r="G67" s="3">
        <v>0</v>
      </c>
      <c r="H67" s="3">
        <v>0</v>
      </c>
      <c r="I67" s="3">
        <v>0</v>
      </c>
      <c r="K67" s="3">
        <v>0</v>
      </c>
      <c r="L67" s="3">
        <v>0</v>
      </c>
      <c r="M67" s="3">
        <v>0</v>
      </c>
    </row>
    <row r="68" spans="1:13">
      <c r="A68" t="s">
        <v>16</v>
      </c>
      <c r="C68" s="3">
        <f>C67/C66</f>
        <v>0</v>
      </c>
      <c r="D68" s="3">
        <f>D67/D66</f>
        <v>0</v>
      </c>
      <c r="E68" s="3">
        <f>E67/E66</f>
        <v>0</v>
      </c>
      <c r="G68" s="3">
        <f>G67/G66</f>
        <v>0</v>
      </c>
      <c r="H68" s="3">
        <f>H67/H66</f>
        <v>0</v>
      </c>
      <c r="I68" s="3">
        <f>I67/I66</f>
        <v>0</v>
      </c>
      <c r="K68" s="3">
        <f>K67/K66</f>
        <v>0</v>
      </c>
      <c r="L68" s="3">
        <f>L67/L66</f>
        <v>0</v>
      </c>
      <c r="M68" s="3">
        <f>M67/M66</f>
        <v>0</v>
      </c>
    </row>
    <row r="69" spans="1:13">
      <c r="A69" t="s">
        <v>17</v>
      </c>
      <c r="C69" s="3">
        <v>0</v>
      </c>
      <c r="D69" s="3">
        <v>0</v>
      </c>
      <c r="E69" s="3">
        <v>0</v>
      </c>
      <c r="G69" s="3">
        <v>0</v>
      </c>
      <c r="H69" s="3">
        <v>0</v>
      </c>
      <c r="I69" s="3">
        <v>0</v>
      </c>
      <c r="K69" s="3">
        <v>0</v>
      </c>
      <c r="L69" s="3">
        <v>0</v>
      </c>
      <c r="M69" s="3">
        <v>0</v>
      </c>
    </row>
    <row r="70" spans="1:13">
      <c r="A70" t="s">
        <v>18</v>
      </c>
      <c r="C70" s="3">
        <v>0</v>
      </c>
      <c r="D70" s="3">
        <v>0</v>
      </c>
      <c r="E70" s="3">
        <v>0</v>
      </c>
      <c r="G70" s="3">
        <v>0</v>
      </c>
      <c r="H70" s="3">
        <v>0</v>
      </c>
      <c r="I70" s="3">
        <v>0</v>
      </c>
      <c r="K70" s="3">
        <v>0</v>
      </c>
      <c r="L70" s="3">
        <v>0</v>
      </c>
      <c r="M70" s="3">
        <v>0</v>
      </c>
    </row>
    <row r="71" spans="1:13">
      <c r="A71" t="s">
        <v>19</v>
      </c>
      <c r="C71" s="3">
        <f>C67*C70*C69-C69</f>
        <v>0</v>
      </c>
      <c r="D71" s="3">
        <f>D67*D70*D69-D69</f>
        <v>0</v>
      </c>
      <c r="E71" s="3">
        <f>E67*E70*E69-E69</f>
        <v>0</v>
      </c>
      <c r="G71" s="3">
        <f>G67*G70*G69-G69</f>
        <v>0</v>
      </c>
      <c r="H71" s="3">
        <f>H67*H70*H69-H69</f>
        <v>0</v>
      </c>
      <c r="I71" s="3">
        <f>I67*I70*I69-I69</f>
        <v>0</v>
      </c>
      <c r="K71" s="3">
        <f>K67*K70*K69-K69</f>
        <v>0</v>
      </c>
      <c r="L71" s="3">
        <f>L67*L70*L69-L69</f>
        <v>0</v>
      </c>
      <c r="M71" s="3">
        <f>M67*M70*M69-M69</f>
        <v>0</v>
      </c>
    </row>
    <row r="73" spans="1:13">
      <c r="A73" s="1" t="s">
        <v>26</v>
      </c>
      <c r="C73" s="1" t="s">
        <v>1</v>
      </c>
      <c r="E73" s="1">
        <f>0+C80+D80+E80 + E64</f>
        <v>-2.6</v>
      </c>
      <c r="G73" s="1" t="s">
        <v>2</v>
      </c>
      <c r="I73" s="1">
        <f>0+G80+H80+I80 + I64</f>
        <v>2.44</v>
      </c>
      <c r="K73" s="1" t="s">
        <v>3</v>
      </c>
      <c r="M73" s="1">
        <f>0+K80+L80+M80 + M64</f>
        <v>4.63</v>
      </c>
    </row>
    <row r="74" spans="1:13">
      <c r="A74" t="s">
        <v>28</v>
      </c>
      <c r="C74" s="2" t="s">
        <v>5</v>
      </c>
      <c r="D74" s="2" t="s">
        <v>6</v>
      </c>
      <c r="E74" s="2" t="s">
        <v>7</v>
      </c>
      <c r="G74" s="2" t="s">
        <v>8</v>
      </c>
      <c r="H74" s="2" t="s">
        <v>9</v>
      </c>
      <c r="I74" s="2" t="s">
        <v>10</v>
      </c>
      <c r="K74" s="2" t="s">
        <v>11</v>
      </c>
      <c r="L74" s="2" t="s">
        <v>12</v>
      </c>
      <c r="M74" s="2" t="s">
        <v>13</v>
      </c>
    </row>
    <row r="75" spans="1:13">
      <c r="A75" t="s">
        <v>14</v>
      </c>
      <c r="C75" s="3">
        <v>3.1829999999999998</v>
      </c>
      <c r="D75" s="3">
        <v>5.8819999999999997</v>
      </c>
      <c r="E75" s="3">
        <v>2.7229999999999999</v>
      </c>
      <c r="G75" s="3">
        <v>3.9359999999999999</v>
      </c>
      <c r="H75" s="3">
        <v>5.14</v>
      </c>
      <c r="I75" s="3">
        <v>2.4729999999999999</v>
      </c>
      <c r="K75" s="3">
        <v>3.0339999999999998</v>
      </c>
      <c r="L75" s="3">
        <v>7.633</v>
      </c>
      <c r="M75" s="3">
        <v>2.3210000000000002</v>
      </c>
    </row>
    <row r="76" spans="1:13">
      <c r="A76" t="s">
        <v>15</v>
      </c>
      <c r="C76" s="3">
        <v>0</v>
      </c>
      <c r="D76" s="3">
        <v>0</v>
      </c>
      <c r="E76" s="3">
        <v>0</v>
      </c>
      <c r="G76" s="3">
        <v>0</v>
      </c>
      <c r="H76" s="3">
        <v>0</v>
      </c>
      <c r="I76" s="3">
        <v>0</v>
      </c>
      <c r="K76" s="3">
        <v>0</v>
      </c>
      <c r="L76" s="3">
        <v>0</v>
      </c>
      <c r="M76" s="3">
        <v>0</v>
      </c>
    </row>
    <row r="77" spans="1:13">
      <c r="A77" t="s">
        <v>16</v>
      </c>
      <c r="C77" s="3">
        <f>C76/C75</f>
        <v>0</v>
      </c>
      <c r="D77" s="3">
        <f>D76/D75</f>
        <v>0</v>
      </c>
      <c r="E77" s="3">
        <f>E76/E75</f>
        <v>0</v>
      </c>
      <c r="G77" s="3">
        <f>G76/G75</f>
        <v>0</v>
      </c>
      <c r="H77" s="3">
        <f>H76/H75</f>
        <v>0</v>
      </c>
      <c r="I77" s="3">
        <f>I76/I75</f>
        <v>0</v>
      </c>
      <c r="K77" s="3">
        <f>K76/K75</f>
        <v>0</v>
      </c>
      <c r="L77" s="3">
        <f>L76/L75</f>
        <v>0</v>
      </c>
      <c r="M77" s="3">
        <f>M76/M75</f>
        <v>0</v>
      </c>
    </row>
    <row r="78" spans="1:13">
      <c r="A78" t="s">
        <v>17</v>
      </c>
      <c r="C78" s="3">
        <v>0</v>
      </c>
      <c r="D78" s="3">
        <v>0</v>
      </c>
      <c r="E78" s="3">
        <v>0</v>
      </c>
      <c r="G78" s="3">
        <v>0</v>
      </c>
      <c r="H78" s="3">
        <v>0</v>
      </c>
      <c r="I78" s="3">
        <v>0</v>
      </c>
      <c r="K78" s="3">
        <v>0</v>
      </c>
      <c r="L78" s="3">
        <v>0</v>
      </c>
      <c r="M78" s="3">
        <v>0</v>
      </c>
    </row>
    <row r="79" spans="1:13">
      <c r="A79" t="s">
        <v>18</v>
      </c>
      <c r="C79" s="3">
        <v>0</v>
      </c>
      <c r="D79" s="3">
        <v>0</v>
      </c>
      <c r="E79" s="3">
        <v>0</v>
      </c>
      <c r="G79" s="3">
        <v>0</v>
      </c>
      <c r="H79" s="3">
        <v>0</v>
      </c>
      <c r="I79" s="3">
        <v>0</v>
      </c>
      <c r="K79" s="3">
        <v>0</v>
      </c>
      <c r="L79" s="3">
        <v>0</v>
      </c>
      <c r="M79" s="3">
        <v>0</v>
      </c>
    </row>
    <row r="80" spans="1:13">
      <c r="A80" t="s">
        <v>19</v>
      </c>
      <c r="C80" s="3">
        <f>C76*C79*C78-C78</f>
        <v>0</v>
      </c>
      <c r="D80" s="3">
        <f>D76*D79*D78-D78</f>
        <v>0</v>
      </c>
      <c r="E80" s="3">
        <f>E76*E79*E78-E78</f>
        <v>0</v>
      </c>
      <c r="G80" s="3">
        <f>G76*G79*G78-G78</f>
        <v>0</v>
      </c>
      <c r="H80" s="3">
        <f>H76*H79*H78-H78</f>
        <v>0</v>
      </c>
      <c r="I80" s="3">
        <f>I76*I79*I78-I78</f>
        <v>0</v>
      </c>
      <c r="K80" s="3">
        <f>K76*K79*K78-K78</f>
        <v>0</v>
      </c>
      <c r="L80" s="3">
        <f>L76*L79*L78-L78</f>
        <v>0</v>
      </c>
      <c r="M80" s="3">
        <f>M76*M79*M78-M78</f>
        <v>0</v>
      </c>
    </row>
    <row r="82" spans="1:13">
      <c r="A82" s="1" t="s">
        <v>26</v>
      </c>
      <c r="C82" s="1" t="s">
        <v>1</v>
      </c>
      <c r="E82" s="1">
        <f>0+C89+D89+E89 + E73</f>
        <v>-2.6</v>
      </c>
      <c r="G82" s="1" t="s">
        <v>2</v>
      </c>
      <c r="I82" s="1">
        <f>0+G89+H89+I89 + I73</f>
        <v>2.44</v>
      </c>
      <c r="K82" s="1" t="s">
        <v>3</v>
      </c>
      <c r="M82" s="1">
        <f>0+K89+L89+M89 + M73</f>
        <v>4.63</v>
      </c>
    </row>
    <row r="83" spans="1:13">
      <c r="A83" t="s">
        <v>29</v>
      </c>
      <c r="C83" s="2" t="s">
        <v>5</v>
      </c>
      <c r="D83" s="2" t="s">
        <v>6</v>
      </c>
      <c r="E83" s="2" t="s">
        <v>7</v>
      </c>
      <c r="G83" s="2" t="s">
        <v>8</v>
      </c>
      <c r="H83" s="2" t="s">
        <v>9</v>
      </c>
      <c r="I83" s="2" t="s">
        <v>10</v>
      </c>
      <c r="K83" s="2" t="s">
        <v>11</v>
      </c>
      <c r="L83" s="2" t="s">
        <v>12</v>
      </c>
      <c r="M83" s="2" t="s">
        <v>13</v>
      </c>
    </row>
    <row r="84" spans="1:13">
      <c r="A84" t="s">
        <v>14</v>
      </c>
      <c r="C84" s="3">
        <v>1.8260000000000001</v>
      </c>
      <c r="D84" s="3">
        <v>4.3449999999999998</v>
      </c>
      <c r="E84" s="3">
        <v>8.593</v>
      </c>
      <c r="G84" s="3">
        <v>2.2200000000000002</v>
      </c>
      <c r="H84" s="3">
        <v>5.1630000000000003</v>
      </c>
      <c r="I84" s="3">
        <v>4.327</v>
      </c>
      <c r="K84" s="3">
        <v>1.853</v>
      </c>
      <c r="L84" s="3">
        <v>3.0569999999999999</v>
      </c>
      <c r="M84" s="3">
        <v>12.435</v>
      </c>
    </row>
    <row r="85" spans="1:13">
      <c r="A85" t="s">
        <v>15</v>
      </c>
      <c r="C85" s="3">
        <v>0</v>
      </c>
      <c r="D85" s="3">
        <v>0</v>
      </c>
      <c r="E85" s="3">
        <v>0</v>
      </c>
      <c r="G85" s="3">
        <v>0</v>
      </c>
      <c r="H85" s="3">
        <v>0</v>
      </c>
      <c r="I85" s="3">
        <v>0</v>
      </c>
      <c r="K85" s="3">
        <v>0</v>
      </c>
      <c r="L85" s="3">
        <v>0</v>
      </c>
      <c r="M85" s="3">
        <v>0</v>
      </c>
    </row>
    <row r="86" spans="1:13">
      <c r="A86" t="s">
        <v>16</v>
      </c>
      <c r="C86" s="3">
        <f>C85/C84</f>
        <v>0</v>
      </c>
      <c r="D86" s="3">
        <f>D85/D84</f>
        <v>0</v>
      </c>
      <c r="E86" s="3">
        <f>E85/E84</f>
        <v>0</v>
      </c>
      <c r="G86" s="3">
        <f>G85/G84</f>
        <v>0</v>
      </c>
      <c r="H86" s="3">
        <f>H85/H84</f>
        <v>0</v>
      </c>
      <c r="I86" s="3">
        <f>I85/I84</f>
        <v>0</v>
      </c>
      <c r="K86" s="3">
        <f>K85/K84</f>
        <v>0</v>
      </c>
      <c r="L86" s="3">
        <f>L85/L84</f>
        <v>0</v>
      </c>
      <c r="M86" s="3">
        <f>M85/M84</f>
        <v>0</v>
      </c>
    </row>
    <row r="87" spans="1:13">
      <c r="A87" t="s">
        <v>17</v>
      </c>
      <c r="C87" s="3">
        <v>0</v>
      </c>
      <c r="D87" s="3">
        <v>0</v>
      </c>
      <c r="E87" s="3">
        <v>0</v>
      </c>
      <c r="G87" s="3">
        <v>0</v>
      </c>
      <c r="H87" s="3">
        <v>0</v>
      </c>
      <c r="I87" s="3">
        <v>0</v>
      </c>
      <c r="K87" s="3">
        <v>0</v>
      </c>
      <c r="L87" s="3">
        <v>0</v>
      </c>
      <c r="M87" s="3">
        <v>0</v>
      </c>
    </row>
    <row r="88" spans="1:13">
      <c r="A88" t="s">
        <v>18</v>
      </c>
      <c r="C88" s="3">
        <v>0</v>
      </c>
      <c r="D88" s="3">
        <v>0</v>
      </c>
      <c r="E88" s="3">
        <v>0</v>
      </c>
      <c r="G88" s="3">
        <v>0</v>
      </c>
      <c r="H88" s="3">
        <v>0</v>
      </c>
      <c r="I88" s="3">
        <v>0</v>
      </c>
      <c r="K88" s="3">
        <v>0</v>
      </c>
      <c r="L88" s="3">
        <v>0</v>
      </c>
      <c r="M88" s="3">
        <v>0</v>
      </c>
    </row>
    <row r="89" spans="1:13">
      <c r="A89" t="s">
        <v>19</v>
      </c>
      <c r="C89" s="3">
        <f>C85*C88*C87-C87</f>
        <v>0</v>
      </c>
      <c r="D89" s="3">
        <f>D85*D88*D87-D87</f>
        <v>0</v>
      </c>
      <c r="E89" s="3">
        <f>E85*E88*E87-E87</f>
        <v>0</v>
      </c>
      <c r="G89" s="3">
        <f>G85*G88*G87-G87</f>
        <v>0</v>
      </c>
      <c r="H89" s="3">
        <f>H85*H88*H87-H87</f>
        <v>0</v>
      </c>
      <c r="I89" s="3">
        <f>I85*I88*I87-I87</f>
        <v>0</v>
      </c>
      <c r="K89" s="3">
        <f>K85*K88*K87-K87</f>
        <v>0</v>
      </c>
      <c r="L89" s="3">
        <f>L85*L88*L87-L87</f>
        <v>0</v>
      </c>
      <c r="M89" s="3">
        <f>M85*M88*M87-M87</f>
        <v>0</v>
      </c>
    </row>
    <row r="91" spans="1:13">
      <c r="A91" s="1" t="s">
        <v>26</v>
      </c>
      <c r="C91" s="1" t="s">
        <v>1</v>
      </c>
      <c r="E91" s="1">
        <f>0+C98+D98+E98 + E82</f>
        <v>-2.6</v>
      </c>
      <c r="G91" s="1" t="s">
        <v>2</v>
      </c>
      <c r="I91" s="1">
        <f>0+G98+H98+I98 + I82</f>
        <v>2.44</v>
      </c>
      <c r="K91" s="1" t="s">
        <v>3</v>
      </c>
      <c r="M91" s="1">
        <f>0+K98+L98+M98 + M82</f>
        <v>4.63</v>
      </c>
    </row>
    <row r="92" spans="1:13">
      <c r="A92" t="s">
        <v>30</v>
      </c>
      <c r="C92" s="2" t="s">
        <v>5</v>
      </c>
      <c r="D92" s="2" t="s">
        <v>6</v>
      </c>
      <c r="E92" s="2" t="s">
        <v>7</v>
      </c>
      <c r="G92" s="2" t="s">
        <v>8</v>
      </c>
      <c r="H92" s="2" t="s">
        <v>9</v>
      </c>
      <c r="I92" s="2" t="s">
        <v>10</v>
      </c>
      <c r="K92" s="2" t="s">
        <v>11</v>
      </c>
      <c r="L92" s="2" t="s">
        <v>12</v>
      </c>
      <c r="M92" s="2" t="s">
        <v>13</v>
      </c>
    </row>
    <row r="93" spans="1:13">
      <c r="A93" t="s">
        <v>14</v>
      </c>
      <c r="C93" s="3">
        <v>4.165</v>
      </c>
      <c r="D93" s="3">
        <v>4.2480000000000002</v>
      </c>
      <c r="E93" s="3">
        <v>2.7069999999999999</v>
      </c>
      <c r="G93" s="3">
        <v>6.4089999999999998</v>
      </c>
      <c r="H93" s="3">
        <v>2.4870000000000001</v>
      </c>
      <c r="I93" s="3">
        <v>3.5960000000000001</v>
      </c>
      <c r="K93" s="3">
        <v>3.0419999999999998</v>
      </c>
      <c r="L93" s="3">
        <v>7.4770000000000003</v>
      </c>
      <c r="M93" s="3">
        <v>2.363</v>
      </c>
    </row>
    <row r="94" spans="1:13">
      <c r="A94" t="s">
        <v>15</v>
      </c>
      <c r="C94" s="3">
        <v>0</v>
      </c>
      <c r="D94" s="3">
        <v>0</v>
      </c>
      <c r="E94" s="3">
        <v>0</v>
      </c>
      <c r="G94" s="3">
        <v>0</v>
      </c>
      <c r="H94" s="3">
        <v>0</v>
      </c>
      <c r="I94" s="3">
        <v>0</v>
      </c>
      <c r="K94" s="3">
        <v>0</v>
      </c>
      <c r="L94" s="3">
        <v>0</v>
      </c>
      <c r="M94" s="3">
        <v>0</v>
      </c>
    </row>
    <row r="95" spans="1:13">
      <c r="A95" t="s">
        <v>16</v>
      </c>
      <c r="C95" s="3">
        <f>C94/C93</f>
        <v>0</v>
      </c>
      <c r="D95" s="3">
        <f>D94/D93</f>
        <v>0</v>
      </c>
      <c r="E95" s="3">
        <f>E94/E93</f>
        <v>0</v>
      </c>
      <c r="G95" s="3">
        <f>G94/G93</f>
        <v>0</v>
      </c>
      <c r="H95" s="3">
        <f>H94/H93</f>
        <v>0</v>
      </c>
      <c r="I95" s="3">
        <f>I94/I93</f>
        <v>0</v>
      </c>
      <c r="K95" s="3">
        <f>K94/K93</f>
        <v>0</v>
      </c>
      <c r="L95" s="3">
        <f>L94/L93</f>
        <v>0</v>
      </c>
      <c r="M95" s="3">
        <f>M94/M93</f>
        <v>0</v>
      </c>
    </row>
    <row r="96" spans="1:13">
      <c r="A96" t="s">
        <v>17</v>
      </c>
      <c r="C96" s="3">
        <v>0</v>
      </c>
      <c r="D96" s="3">
        <v>0</v>
      </c>
      <c r="E96" s="3">
        <v>0</v>
      </c>
      <c r="G96" s="3">
        <v>0</v>
      </c>
      <c r="H96" s="3">
        <v>0</v>
      </c>
      <c r="I96" s="3">
        <v>0</v>
      </c>
      <c r="K96" s="3">
        <v>0</v>
      </c>
      <c r="L96" s="3">
        <v>0</v>
      </c>
      <c r="M96" s="3">
        <v>0</v>
      </c>
    </row>
    <row r="97" spans="1:13">
      <c r="A97" t="s">
        <v>18</v>
      </c>
      <c r="C97" s="3">
        <v>0</v>
      </c>
      <c r="D97" s="3">
        <v>0</v>
      </c>
      <c r="E97" s="3">
        <v>0</v>
      </c>
      <c r="G97" s="3">
        <v>0</v>
      </c>
      <c r="H97" s="3">
        <v>0</v>
      </c>
      <c r="I97" s="3">
        <v>0</v>
      </c>
      <c r="K97" s="3">
        <v>0</v>
      </c>
      <c r="L97" s="3">
        <v>0</v>
      </c>
      <c r="M97" s="3">
        <v>0</v>
      </c>
    </row>
    <row r="98" spans="1:13">
      <c r="A98" t="s">
        <v>19</v>
      </c>
      <c r="C98" s="3">
        <f>C94*C97*C96-C96</f>
        <v>0</v>
      </c>
      <c r="D98" s="3">
        <f>D94*D97*D96-D96</f>
        <v>0</v>
      </c>
      <c r="E98" s="3">
        <f>E94*E97*E96-E96</f>
        <v>0</v>
      </c>
      <c r="G98" s="3">
        <f>G94*G97*G96-G96</f>
        <v>0</v>
      </c>
      <c r="H98" s="3">
        <f>H94*H97*H96-H96</f>
        <v>0</v>
      </c>
      <c r="I98" s="3">
        <f>I94*I97*I96-I96</f>
        <v>0</v>
      </c>
      <c r="K98" s="3">
        <f>K94*K97*K96-K96</f>
        <v>0</v>
      </c>
      <c r="L98" s="3">
        <f>L94*L97*L96-L96</f>
        <v>0</v>
      </c>
      <c r="M98" s="3">
        <f>M94*M97*M96-M96</f>
        <v>0</v>
      </c>
    </row>
    <row r="100" spans="1:13">
      <c r="A100" s="1" t="s">
        <v>26</v>
      </c>
      <c r="C100" s="1" t="s">
        <v>1</v>
      </c>
      <c r="E100" s="1">
        <f>0+C107+D107+E107 + E91</f>
        <v>-2.6</v>
      </c>
      <c r="G100" s="1" t="s">
        <v>2</v>
      </c>
      <c r="I100" s="1">
        <f>0+G107+H107+I107 + I91</f>
        <v>2.44</v>
      </c>
      <c r="K100" s="1" t="s">
        <v>3</v>
      </c>
      <c r="M100" s="1">
        <f>0+K107+L107+M107 + M91</f>
        <v>4.63</v>
      </c>
    </row>
    <row r="101" spans="1:13">
      <c r="A101" t="s">
        <v>31</v>
      </c>
      <c r="C101" s="2" t="s">
        <v>5</v>
      </c>
      <c r="D101" s="2" t="s">
        <v>6</v>
      </c>
      <c r="E101" s="2" t="s">
        <v>7</v>
      </c>
      <c r="G101" s="2" t="s">
        <v>8</v>
      </c>
      <c r="H101" s="2" t="s">
        <v>9</v>
      </c>
      <c r="I101" s="2" t="s">
        <v>10</v>
      </c>
      <c r="K101" s="2" t="s">
        <v>11</v>
      </c>
      <c r="L101" s="2" t="s">
        <v>12</v>
      </c>
      <c r="M101" s="2" t="s">
        <v>13</v>
      </c>
    </row>
    <row r="102" spans="1:13">
      <c r="A102" t="s">
        <v>14</v>
      </c>
      <c r="C102" s="3">
        <v>4.7549999999999999</v>
      </c>
      <c r="D102" s="3">
        <v>4.6520000000000001</v>
      </c>
      <c r="E102" s="3">
        <v>2.214</v>
      </c>
      <c r="G102" s="3">
        <v>5.1639999999999997</v>
      </c>
      <c r="H102" s="3">
        <v>4.3369999999999997</v>
      </c>
      <c r="I102" s="3">
        <v>2.363</v>
      </c>
      <c r="K102" s="3">
        <v>6.3760000000000003</v>
      </c>
      <c r="L102" s="3">
        <v>3.2930000000000001</v>
      </c>
      <c r="M102" s="3">
        <v>2.3180000000000001</v>
      </c>
    </row>
    <row r="103" spans="1:13">
      <c r="A103" t="s">
        <v>15</v>
      </c>
      <c r="C103" s="3">
        <v>0</v>
      </c>
      <c r="D103" s="3">
        <v>0</v>
      </c>
      <c r="E103" s="3">
        <v>0</v>
      </c>
      <c r="G103" s="3">
        <v>0</v>
      </c>
      <c r="H103" s="3">
        <v>0</v>
      </c>
      <c r="I103" s="3">
        <v>0</v>
      </c>
      <c r="K103" s="3">
        <v>0</v>
      </c>
      <c r="L103" s="3">
        <v>0</v>
      </c>
      <c r="M103" s="3">
        <v>0</v>
      </c>
    </row>
    <row r="104" spans="1:13">
      <c r="A104" t="s">
        <v>16</v>
      </c>
      <c r="C104" s="3">
        <f>C103/C102</f>
        <v>0</v>
      </c>
      <c r="D104" s="3">
        <f>D103/D102</f>
        <v>0</v>
      </c>
      <c r="E104" s="3">
        <f>E103/E102</f>
        <v>0</v>
      </c>
      <c r="G104" s="3">
        <f>G103/G102</f>
        <v>0</v>
      </c>
      <c r="H104" s="3">
        <f>H103/H102</f>
        <v>0</v>
      </c>
      <c r="I104" s="3">
        <f>I103/I102</f>
        <v>0</v>
      </c>
      <c r="K104" s="3">
        <f>K103/K102</f>
        <v>0</v>
      </c>
      <c r="L104" s="3">
        <f>L103/L102</f>
        <v>0</v>
      </c>
      <c r="M104" s="3">
        <f>M103/M102</f>
        <v>0</v>
      </c>
    </row>
    <row r="105" spans="1:13">
      <c r="A105" t="s">
        <v>17</v>
      </c>
      <c r="C105" s="3">
        <v>0</v>
      </c>
      <c r="D105" s="3">
        <v>0</v>
      </c>
      <c r="E105" s="3">
        <v>0</v>
      </c>
      <c r="G105" s="3">
        <v>0</v>
      </c>
      <c r="H105" s="3">
        <v>0</v>
      </c>
      <c r="I105" s="3">
        <v>0</v>
      </c>
      <c r="K105" s="3">
        <v>0</v>
      </c>
      <c r="L105" s="3">
        <v>0</v>
      </c>
      <c r="M105" s="3">
        <v>0</v>
      </c>
    </row>
    <row r="106" spans="1:13">
      <c r="A106" t="s">
        <v>18</v>
      </c>
      <c r="C106" s="3">
        <v>0</v>
      </c>
      <c r="D106" s="3">
        <v>0</v>
      </c>
      <c r="E106" s="3">
        <v>0</v>
      </c>
      <c r="G106" s="3">
        <v>0</v>
      </c>
      <c r="H106" s="3">
        <v>0</v>
      </c>
      <c r="I106" s="3">
        <v>0</v>
      </c>
      <c r="K106" s="3">
        <v>0</v>
      </c>
      <c r="L106" s="3">
        <v>0</v>
      </c>
      <c r="M106" s="3">
        <v>0</v>
      </c>
    </row>
    <row r="107" spans="1:13">
      <c r="A107" t="s">
        <v>19</v>
      </c>
      <c r="C107" s="3">
        <f>C103*C106*C105-C105</f>
        <v>0</v>
      </c>
      <c r="D107" s="3">
        <f>D103*D106*D105-D105</f>
        <v>0</v>
      </c>
      <c r="E107" s="3">
        <f>E103*E106*E105-E105</f>
        <v>0</v>
      </c>
      <c r="G107" s="3">
        <f>G103*G106*G105-G105</f>
        <v>0</v>
      </c>
      <c r="H107" s="3">
        <f>H103*H106*H105-H105</f>
        <v>0</v>
      </c>
      <c r="I107" s="3">
        <f>I103*I106*I105-I105</f>
        <v>0</v>
      </c>
      <c r="K107" s="3">
        <f>K103*K106*K105-K105</f>
        <v>0</v>
      </c>
      <c r="L107" s="3">
        <f>L103*L106*L105-L105</f>
        <v>0</v>
      </c>
      <c r="M107" s="3">
        <f>M103*M106*M105-M105</f>
        <v>0</v>
      </c>
    </row>
    <row r="109" spans="1:13">
      <c r="A109" s="1" t="s">
        <v>26</v>
      </c>
      <c r="C109" s="1" t="s">
        <v>1</v>
      </c>
      <c r="E109" s="1">
        <f>0+C116+D116+E116 + E100</f>
        <v>-2.6</v>
      </c>
      <c r="G109" s="1" t="s">
        <v>2</v>
      </c>
      <c r="I109" s="1">
        <f>0+G116+H116+I116 + I100</f>
        <v>2.44</v>
      </c>
      <c r="K109" s="1" t="s">
        <v>3</v>
      </c>
      <c r="M109" s="1">
        <f>0+K116+L116+M116 + M100</f>
        <v>4.63</v>
      </c>
    </row>
    <row r="110" spans="1:13">
      <c r="A110" t="s">
        <v>32</v>
      </c>
      <c r="C110" s="2" t="s">
        <v>5</v>
      </c>
      <c r="D110" s="2" t="s">
        <v>6</v>
      </c>
      <c r="E110" s="2" t="s">
        <v>7</v>
      </c>
      <c r="G110" s="2" t="s">
        <v>8</v>
      </c>
      <c r="H110" s="2" t="s">
        <v>9</v>
      </c>
      <c r="I110" s="2" t="s">
        <v>10</v>
      </c>
      <c r="K110" s="2" t="s">
        <v>11</v>
      </c>
      <c r="L110" s="2" t="s">
        <v>12</v>
      </c>
      <c r="M110" s="2" t="s">
        <v>13</v>
      </c>
    </row>
    <row r="111" spans="1:13">
      <c r="A111" t="s">
        <v>14</v>
      </c>
      <c r="C111" s="3">
        <v>2.0129999999999999</v>
      </c>
      <c r="D111" s="3">
        <v>6.14</v>
      </c>
      <c r="E111" s="3">
        <v>4.7590000000000003</v>
      </c>
      <c r="G111" s="3">
        <v>3.5110000000000001</v>
      </c>
      <c r="H111" s="3">
        <v>8.8640000000000008</v>
      </c>
      <c r="I111" s="3">
        <v>1.9350000000000001</v>
      </c>
      <c r="K111" s="3">
        <v>3.2410000000000001</v>
      </c>
      <c r="L111" s="3">
        <v>1.534</v>
      </c>
      <c r="M111" s="3">
        <v>23.074999999999999</v>
      </c>
    </row>
    <row r="112" spans="1:13">
      <c r="A112" t="s">
        <v>15</v>
      </c>
      <c r="C112" s="3">
        <v>0</v>
      </c>
      <c r="D112" s="3">
        <v>0</v>
      </c>
      <c r="E112" s="3">
        <v>0</v>
      </c>
      <c r="G112" s="3">
        <v>0</v>
      </c>
      <c r="H112" s="3">
        <v>0</v>
      </c>
      <c r="I112" s="3">
        <v>0</v>
      </c>
      <c r="K112" s="3">
        <v>0</v>
      </c>
      <c r="L112" s="3">
        <v>0</v>
      </c>
      <c r="M112" s="3">
        <v>0</v>
      </c>
    </row>
    <row r="113" spans="1:13">
      <c r="A113" t="s">
        <v>16</v>
      </c>
      <c r="C113" s="3">
        <f>C112/C111</f>
        <v>0</v>
      </c>
      <c r="D113" s="3">
        <f>D112/D111</f>
        <v>0</v>
      </c>
      <c r="E113" s="3">
        <f>E112/E111</f>
        <v>0</v>
      </c>
      <c r="G113" s="3">
        <f>G112/G111</f>
        <v>0</v>
      </c>
      <c r="H113" s="3">
        <f>H112/H111</f>
        <v>0</v>
      </c>
      <c r="I113" s="3">
        <f>I112/I111</f>
        <v>0</v>
      </c>
      <c r="K113" s="3">
        <f>K112/K111</f>
        <v>0</v>
      </c>
      <c r="L113" s="3">
        <f>L112/L111</f>
        <v>0</v>
      </c>
      <c r="M113" s="3">
        <f>M112/M111</f>
        <v>0</v>
      </c>
    </row>
    <row r="114" spans="1:13">
      <c r="A114" t="s">
        <v>17</v>
      </c>
      <c r="C114" s="3">
        <v>0</v>
      </c>
      <c r="D114" s="3">
        <v>0</v>
      </c>
      <c r="E114" s="3">
        <v>0</v>
      </c>
      <c r="G114" s="3">
        <v>0</v>
      </c>
      <c r="H114" s="3">
        <v>0</v>
      </c>
      <c r="I114" s="3">
        <v>0</v>
      </c>
      <c r="K114" s="3">
        <v>0</v>
      </c>
      <c r="L114" s="3">
        <v>0</v>
      </c>
      <c r="M114" s="3">
        <v>0</v>
      </c>
    </row>
    <row r="115" spans="1:13">
      <c r="A115" t="s">
        <v>18</v>
      </c>
      <c r="C115" s="3">
        <v>0</v>
      </c>
      <c r="D115" s="3">
        <v>0</v>
      </c>
      <c r="E115" s="3">
        <v>0</v>
      </c>
      <c r="G115" s="3">
        <v>0</v>
      </c>
      <c r="H115" s="3">
        <v>0</v>
      </c>
      <c r="I115" s="3">
        <v>0</v>
      </c>
      <c r="K115" s="3">
        <v>0</v>
      </c>
      <c r="L115" s="3">
        <v>0</v>
      </c>
      <c r="M115" s="3">
        <v>0</v>
      </c>
    </row>
    <row r="116" spans="1:13">
      <c r="A116" t="s">
        <v>19</v>
      </c>
      <c r="C116" s="3">
        <f>C112*C115*C114-C114</f>
        <v>0</v>
      </c>
      <c r="D116" s="3">
        <f>D112*D115*D114-D114</f>
        <v>0</v>
      </c>
      <c r="E116" s="3">
        <f>E112*E115*E114-E114</f>
        <v>0</v>
      </c>
      <c r="G116" s="3">
        <f>G112*G115*G114-G114</f>
        <v>0</v>
      </c>
      <c r="H116" s="3">
        <f>H112*H115*H114-H114</f>
        <v>0</v>
      </c>
      <c r="I116" s="3">
        <f>I112*I115*I114-I114</f>
        <v>0</v>
      </c>
      <c r="K116" s="3">
        <f>K112*K115*K114-K114</f>
        <v>0</v>
      </c>
      <c r="L116" s="3">
        <f>L112*L115*L114-L114</f>
        <v>0</v>
      </c>
      <c r="M116" s="3">
        <f>M112*M115*M114-M114</f>
        <v>0</v>
      </c>
    </row>
    <row r="118" spans="1:13">
      <c r="A118" s="1" t="s">
        <v>26</v>
      </c>
      <c r="C118" s="1" t="s">
        <v>1</v>
      </c>
      <c r="E118" s="1">
        <f>0+C125+D125+E125 + E109</f>
        <v>-3.6</v>
      </c>
      <c r="G118" s="1" t="s">
        <v>2</v>
      </c>
      <c r="I118" s="1">
        <f>0+G125+H125+I125 + I109</f>
        <v>1.44</v>
      </c>
      <c r="K118" s="1" t="s">
        <v>3</v>
      </c>
      <c r="M118" s="1">
        <f>0+K125+L125+M125 + M109</f>
        <v>3.63</v>
      </c>
    </row>
    <row r="119" spans="1:13">
      <c r="A119" t="s">
        <v>33</v>
      </c>
      <c r="C119" s="2" t="s">
        <v>5</v>
      </c>
      <c r="D119" s="2" t="s">
        <v>6</v>
      </c>
      <c r="E119" s="2" t="s">
        <v>7</v>
      </c>
      <c r="G119" s="2" t="s">
        <v>8</v>
      </c>
      <c r="H119" s="2" t="s">
        <v>9</v>
      </c>
      <c r="I119" s="2" t="s">
        <v>10</v>
      </c>
      <c r="K119" s="2" t="s">
        <v>11</v>
      </c>
      <c r="L119" s="2" t="s">
        <v>12</v>
      </c>
      <c r="M119" s="2" t="s">
        <v>13</v>
      </c>
    </row>
    <row r="120" spans="1:13">
      <c r="A120" t="s">
        <v>14</v>
      </c>
      <c r="C120" s="3">
        <v>1.347</v>
      </c>
      <c r="D120" s="3">
        <v>4.8029999999999999</v>
      </c>
      <c r="E120" s="3">
        <v>26.93</v>
      </c>
      <c r="G120" s="3">
        <v>1.5449999999999999</v>
      </c>
      <c r="H120" s="3">
        <v>5.6180000000000003</v>
      </c>
      <c r="I120" s="3">
        <v>8.8390000000000004</v>
      </c>
      <c r="K120" s="3">
        <v>1.7010000000000001</v>
      </c>
      <c r="L120" s="3">
        <v>9.1140000000000008</v>
      </c>
      <c r="M120" s="3">
        <v>5.3819999999999997</v>
      </c>
    </row>
    <row r="121" spans="1:13">
      <c r="A121" t="s">
        <v>15</v>
      </c>
      <c r="C121" s="3">
        <v>1.1599999999999999</v>
      </c>
      <c r="D121" s="3">
        <v>10.1</v>
      </c>
      <c r="E121" s="3">
        <v>14.4</v>
      </c>
      <c r="G121" s="3">
        <v>1.5</v>
      </c>
      <c r="H121" s="3">
        <v>3.53</v>
      </c>
      <c r="I121" s="3">
        <v>10.4</v>
      </c>
      <c r="K121" s="3">
        <v>1.34</v>
      </c>
      <c r="L121" s="3">
        <v>4.8099999999999996</v>
      </c>
      <c r="M121" s="3">
        <v>11</v>
      </c>
    </row>
    <row r="122" spans="1:13">
      <c r="A122" t="s">
        <v>16</v>
      </c>
      <c r="C122" s="3">
        <f>C121/C120</f>
        <v>0.86117297698589457</v>
      </c>
      <c r="D122" s="3">
        <f>D121/D120</f>
        <v>2.1028523839267126</v>
      </c>
      <c r="E122" s="3">
        <f>E121/E120</f>
        <v>0.53471964352023771</v>
      </c>
      <c r="G122" s="3">
        <f>G121/G120</f>
        <v>0.970873786407767</v>
      </c>
      <c r="H122" s="3">
        <f>H121/H120</f>
        <v>0.62833748665005329</v>
      </c>
      <c r="I122" s="3">
        <f>I121/I120</f>
        <v>1.1766036882000226</v>
      </c>
      <c r="K122" s="3">
        <f>K121/K120</f>
        <v>0.78777189888301002</v>
      </c>
      <c r="L122" s="3">
        <f>L121/L120</f>
        <v>0.52775949089313134</v>
      </c>
      <c r="M122" s="3">
        <f>M121/M120</f>
        <v>2.0438498699368264</v>
      </c>
    </row>
    <row r="123" spans="1:13">
      <c r="A123" t="s">
        <v>17</v>
      </c>
      <c r="C123" s="3">
        <v>0</v>
      </c>
      <c r="D123" s="3">
        <v>1</v>
      </c>
      <c r="E123" s="3">
        <v>0</v>
      </c>
      <c r="G123" s="3">
        <v>0</v>
      </c>
      <c r="H123" s="3">
        <v>0</v>
      </c>
      <c r="I123" s="3">
        <v>1</v>
      </c>
      <c r="K123" s="3">
        <v>0</v>
      </c>
      <c r="L123" s="3">
        <v>0</v>
      </c>
      <c r="M123" s="3">
        <v>1</v>
      </c>
    </row>
    <row r="124" spans="1:13">
      <c r="A124" t="s">
        <v>18</v>
      </c>
      <c r="C124" s="3">
        <v>1</v>
      </c>
      <c r="D124" s="3">
        <v>0</v>
      </c>
      <c r="E124" s="3">
        <v>0</v>
      </c>
      <c r="G124" s="3">
        <v>1</v>
      </c>
      <c r="H124" s="3">
        <v>0</v>
      </c>
      <c r="I124" s="3">
        <v>0</v>
      </c>
      <c r="K124" s="3">
        <v>0</v>
      </c>
      <c r="L124" s="3">
        <v>1</v>
      </c>
      <c r="M124" s="3">
        <v>0</v>
      </c>
    </row>
    <row r="125" spans="1:13">
      <c r="A125" t="s">
        <v>19</v>
      </c>
      <c r="C125" s="3">
        <f>C121*C124*C123-C123</f>
        <v>0</v>
      </c>
      <c r="D125" s="3">
        <f>D121*D124*D123-D123</f>
        <v>-1</v>
      </c>
      <c r="E125" s="3">
        <f>E121*E124*E123-E123</f>
        <v>0</v>
      </c>
      <c r="G125" s="3">
        <f>G121*G124*G123-G123</f>
        <v>0</v>
      </c>
      <c r="H125" s="3">
        <f>H121*H124*H123-H123</f>
        <v>0</v>
      </c>
      <c r="I125" s="3">
        <f>I121*I124*I123-I123</f>
        <v>-1</v>
      </c>
      <c r="K125" s="3">
        <f>K121*K124*K123-K123</f>
        <v>0</v>
      </c>
      <c r="L125" s="3">
        <f>L121*L124*L123-L123</f>
        <v>0</v>
      </c>
      <c r="M125" s="3">
        <f>M121*M124*M123-M123</f>
        <v>-1</v>
      </c>
    </row>
    <row r="127" spans="1:13">
      <c r="A127" s="1" t="s">
        <v>34</v>
      </c>
      <c r="C127" s="1" t="s">
        <v>1</v>
      </c>
      <c r="E127" s="1">
        <f>0+C134+D134+E134 + E118</f>
        <v>-3.6</v>
      </c>
      <c r="G127" s="1" t="s">
        <v>2</v>
      </c>
      <c r="I127" s="1">
        <f>0+G134+H134+I134 + I118</f>
        <v>1.44</v>
      </c>
      <c r="K127" s="1" t="s">
        <v>3</v>
      </c>
      <c r="M127" s="1">
        <f>0+K134+L134+M134 + M118</f>
        <v>3.63</v>
      </c>
    </row>
    <row r="128" spans="1:13">
      <c r="A128" t="s">
        <v>35</v>
      </c>
      <c r="C128" s="2" t="s">
        <v>5</v>
      </c>
      <c r="D128" s="2" t="s">
        <v>6</v>
      </c>
      <c r="E128" s="2" t="s">
        <v>7</v>
      </c>
      <c r="G128" s="2" t="s">
        <v>8</v>
      </c>
      <c r="H128" s="2" t="s">
        <v>9</v>
      </c>
      <c r="I128" s="2" t="s">
        <v>10</v>
      </c>
      <c r="K128" s="2" t="s">
        <v>11</v>
      </c>
      <c r="L128" s="2" t="s">
        <v>12</v>
      </c>
      <c r="M128" s="2" t="s">
        <v>13</v>
      </c>
    </row>
    <row r="129" spans="1:13">
      <c r="A129" t="s">
        <v>14</v>
      </c>
      <c r="C129" s="3">
        <v>4.6539999999999999</v>
      </c>
      <c r="D129" s="3">
        <v>3.5779999999999998</v>
      </c>
      <c r="E129" s="3">
        <v>2.8940000000000001</v>
      </c>
      <c r="G129" s="3">
        <v>2.8039999999999998</v>
      </c>
      <c r="H129" s="3">
        <v>2.9849999999999999</v>
      </c>
      <c r="I129" s="3">
        <v>6.1050000000000004</v>
      </c>
      <c r="K129" s="3">
        <v>6.2149999999999999</v>
      </c>
      <c r="L129" s="3">
        <v>2.6269999999999998</v>
      </c>
      <c r="M129" s="3">
        <v>3.2530000000000001</v>
      </c>
    </row>
    <row r="130" spans="1:13">
      <c r="A130" t="s">
        <v>15</v>
      </c>
      <c r="C130" s="3">
        <v>0</v>
      </c>
      <c r="D130" s="3">
        <v>0</v>
      </c>
      <c r="E130" s="3">
        <v>0</v>
      </c>
      <c r="G130" s="3">
        <v>0</v>
      </c>
      <c r="H130" s="3">
        <v>0</v>
      </c>
      <c r="I130" s="3">
        <v>0</v>
      </c>
      <c r="K130" s="3">
        <v>0</v>
      </c>
      <c r="L130" s="3">
        <v>0</v>
      </c>
      <c r="M130" s="3">
        <v>0</v>
      </c>
    </row>
    <row r="131" spans="1:13">
      <c r="A131" t="s">
        <v>16</v>
      </c>
      <c r="C131" s="3">
        <f>C130/C129</f>
        <v>0</v>
      </c>
      <c r="D131" s="3">
        <f>D130/D129</f>
        <v>0</v>
      </c>
      <c r="E131" s="3">
        <f>E130/E129</f>
        <v>0</v>
      </c>
      <c r="G131" s="3">
        <f>G130/G129</f>
        <v>0</v>
      </c>
      <c r="H131" s="3">
        <f>H130/H129</f>
        <v>0</v>
      </c>
      <c r="I131" s="3">
        <f>I130/I129</f>
        <v>0</v>
      </c>
      <c r="K131" s="3">
        <f>K130/K129</f>
        <v>0</v>
      </c>
      <c r="L131" s="3">
        <f>L130/L129</f>
        <v>0</v>
      </c>
      <c r="M131" s="3">
        <f>M130/M129</f>
        <v>0</v>
      </c>
    </row>
    <row r="132" spans="1:13">
      <c r="A132" t="s">
        <v>17</v>
      </c>
      <c r="C132" s="3">
        <v>0</v>
      </c>
      <c r="D132" s="3">
        <v>0</v>
      </c>
      <c r="E132" s="3">
        <v>0</v>
      </c>
      <c r="G132" s="3">
        <v>0</v>
      </c>
      <c r="H132" s="3">
        <v>0</v>
      </c>
      <c r="I132" s="3">
        <v>0</v>
      </c>
      <c r="K132" s="3">
        <v>0</v>
      </c>
      <c r="L132" s="3">
        <v>0</v>
      </c>
      <c r="M132" s="3">
        <v>0</v>
      </c>
    </row>
    <row r="133" spans="1:13">
      <c r="A133" t="s">
        <v>18</v>
      </c>
      <c r="C133" s="3">
        <v>0</v>
      </c>
      <c r="D133" s="3">
        <v>0</v>
      </c>
      <c r="E133" s="3">
        <v>0</v>
      </c>
      <c r="G133" s="3">
        <v>0</v>
      </c>
      <c r="H133" s="3">
        <v>0</v>
      </c>
      <c r="I133" s="3">
        <v>0</v>
      </c>
      <c r="K133" s="3">
        <v>0</v>
      </c>
      <c r="L133" s="3">
        <v>0</v>
      </c>
      <c r="M133" s="3">
        <v>0</v>
      </c>
    </row>
    <row r="134" spans="1:13">
      <c r="A134" t="s">
        <v>19</v>
      </c>
      <c r="C134" s="3">
        <f>C130*C133*C132-C132</f>
        <v>0</v>
      </c>
      <c r="D134" s="3">
        <f>D130*D133*D132-D132</f>
        <v>0</v>
      </c>
      <c r="E134" s="3">
        <f>E130*E133*E132-E132</f>
        <v>0</v>
      </c>
      <c r="G134" s="3">
        <f>G130*G133*G132-G132</f>
        <v>0</v>
      </c>
      <c r="H134" s="3">
        <f>H130*H133*H132-H132</f>
        <v>0</v>
      </c>
      <c r="I134" s="3">
        <f>I130*I133*I132-I132</f>
        <v>0</v>
      </c>
      <c r="K134" s="3">
        <f>K130*K133*K132-K132</f>
        <v>0</v>
      </c>
      <c r="L134" s="3">
        <f>L130*L133*L132-L132</f>
        <v>0</v>
      </c>
      <c r="M134" s="3">
        <f>M130*M133*M132-M132</f>
        <v>0</v>
      </c>
    </row>
    <row r="136" spans="1:13">
      <c r="A136" s="1" t="s">
        <v>34</v>
      </c>
      <c r="C136" s="1" t="s">
        <v>1</v>
      </c>
      <c r="E136" s="1">
        <f>0+C143+D143+E143 + E127</f>
        <v>-3.6</v>
      </c>
      <c r="G136" s="1" t="s">
        <v>2</v>
      </c>
      <c r="I136" s="1">
        <f>0+G143+H143+I143 + I127</f>
        <v>1.44</v>
      </c>
      <c r="K136" s="1" t="s">
        <v>3</v>
      </c>
      <c r="M136" s="1">
        <f>0+K143+L143+M143 + M127</f>
        <v>3.63</v>
      </c>
    </row>
    <row r="137" spans="1:13">
      <c r="A137" t="s">
        <v>36</v>
      </c>
      <c r="C137" s="2" t="s">
        <v>5</v>
      </c>
      <c r="D137" s="2" t="s">
        <v>6</v>
      </c>
      <c r="E137" s="2" t="s">
        <v>7</v>
      </c>
      <c r="G137" s="2" t="s">
        <v>8</v>
      </c>
      <c r="H137" s="2" t="s">
        <v>9</v>
      </c>
      <c r="I137" s="2" t="s">
        <v>10</v>
      </c>
      <c r="K137" s="2" t="s">
        <v>11</v>
      </c>
      <c r="L137" s="2" t="s">
        <v>12</v>
      </c>
      <c r="M137" s="2" t="s">
        <v>13</v>
      </c>
    </row>
    <row r="138" spans="1:13">
      <c r="A138" t="s">
        <v>14</v>
      </c>
      <c r="C138" s="3">
        <v>1.5720000000000001</v>
      </c>
      <c r="D138" s="3">
        <v>6.0389999999999997</v>
      </c>
      <c r="E138" s="3">
        <v>9.7780000000000005</v>
      </c>
      <c r="G138" s="3">
        <v>3.0390000000000001</v>
      </c>
      <c r="H138" s="3">
        <v>2.4409999999999998</v>
      </c>
      <c r="I138" s="3">
        <v>7.0359999999999996</v>
      </c>
      <c r="K138" s="3">
        <v>2.7189999999999999</v>
      </c>
      <c r="L138" s="3">
        <v>2.3969999999999998</v>
      </c>
      <c r="M138" s="3">
        <v>9.9920000000000009</v>
      </c>
    </row>
    <row r="139" spans="1:13">
      <c r="A139" t="s">
        <v>15</v>
      </c>
      <c r="C139" s="3">
        <v>0</v>
      </c>
      <c r="D139" s="3">
        <v>0</v>
      </c>
      <c r="E139" s="3">
        <v>0</v>
      </c>
      <c r="G139" s="3">
        <v>0</v>
      </c>
      <c r="H139" s="3">
        <v>0</v>
      </c>
      <c r="I139" s="3">
        <v>0</v>
      </c>
      <c r="K139" s="3">
        <v>0</v>
      </c>
      <c r="L139" s="3">
        <v>0</v>
      </c>
      <c r="M139" s="3">
        <v>0</v>
      </c>
    </row>
    <row r="140" spans="1:13">
      <c r="A140" t="s">
        <v>16</v>
      </c>
      <c r="C140" s="3">
        <f>C139/C138</f>
        <v>0</v>
      </c>
      <c r="D140" s="3">
        <f>D139/D138</f>
        <v>0</v>
      </c>
      <c r="E140" s="3">
        <f>E139/E138</f>
        <v>0</v>
      </c>
      <c r="G140" s="3">
        <f>G139/G138</f>
        <v>0</v>
      </c>
      <c r="H140" s="3">
        <f>H139/H138</f>
        <v>0</v>
      </c>
      <c r="I140" s="3">
        <f>I139/I138</f>
        <v>0</v>
      </c>
      <c r="K140" s="3">
        <f>K139/K138</f>
        <v>0</v>
      </c>
      <c r="L140" s="3">
        <f>L139/L138</f>
        <v>0</v>
      </c>
      <c r="M140" s="3">
        <f>M139/M138</f>
        <v>0</v>
      </c>
    </row>
    <row r="141" spans="1:13">
      <c r="A141" t="s">
        <v>17</v>
      </c>
      <c r="C141" s="3">
        <v>0</v>
      </c>
      <c r="D141" s="3">
        <v>0</v>
      </c>
      <c r="E141" s="3">
        <v>0</v>
      </c>
      <c r="G141" s="3">
        <v>0</v>
      </c>
      <c r="H141" s="3">
        <v>0</v>
      </c>
      <c r="I141" s="3">
        <v>0</v>
      </c>
      <c r="K141" s="3">
        <v>0</v>
      </c>
      <c r="L141" s="3">
        <v>0</v>
      </c>
      <c r="M141" s="3">
        <v>0</v>
      </c>
    </row>
    <row r="142" spans="1:13">
      <c r="A142" t="s">
        <v>18</v>
      </c>
      <c r="C142" s="3">
        <v>0</v>
      </c>
      <c r="D142" s="3">
        <v>0</v>
      </c>
      <c r="E142" s="3">
        <v>0</v>
      </c>
      <c r="G142" s="3">
        <v>0</v>
      </c>
      <c r="H142" s="3">
        <v>0</v>
      </c>
      <c r="I142" s="3">
        <v>0</v>
      </c>
      <c r="K142" s="3">
        <v>0</v>
      </c>
      <c r="L142" s="3">
        <v>0</v>
      </c>
      <c r="M142" s="3">
        <v>0</v>
      </c>
    </row>
    <row r="143" spans="1:13">
      <c r="A143" t="s">
        <v>19</v>
      </c>
      <c r="C143" s="3">
        <f>C139*C142*C141-C141</f>
        <v>0</v>
      </c>
      <c r="D143" s="3">
        <f>D139*D142*D141-D141</f>
        <v>0</v>
      </c>
      <c r="E143" s="3">
        <f>E139*E142*E141-E141</f>
        <v>0</v>
      </c>
      <c r="G143" s="3">
        <f>G139*G142*G141-G141</f>
        <v>0</v>
      </c>
      <c r="H143" s="3">
        <f>H139*H142*H141-H141</f>
        <v>0</v>
      </c>
      <c r="I143" s="3">
        <f>I139*I142*I141-I141</f>
        <v>0</v>
      </c>
      <c r="K143" s="3">
        <f>K139*K142*K141-K141</f>
        <v>0</v>
      </c>
      <c r="L143" s="3">
        <f>L139*L142*L141-L141</f>
        <v>0</v>
      </c>
      <c r="M143" s="3">
        <f>M139*M142*M141-M141</f>
        <v>0</v>
      </c>
    </row>
    <row r="145" spans="1:13">
      <c r="A145" s="1" t="s">
        <v>34</v>
      </c>
      <c r="C145" s="1" t="s">
        <v>1</v>
      </c>
      <c r="E145" s="1">
        <f>0+C152+D152+E152 + E136</f>
        <v>-3.6</v>
      </c>
      <c r="G145" s="1" t="s">
        <v>2</v>
      </c>
      <c r="I145" s="1">
        <f>0+G152+H152+I152 + I136</f>
        <v>1.44</v>
      </c>
      <c r="K145" s="1" t="s">
        <v>3</v>
      </c>
      <c r="M145" s="1">
        <f>0+K152+L152+M152 + M136</f>
        <v>3.63</v>
      </c>
    </row>
    <row r="146" spans="1:13">
      <c r="A146" t="s">
        <v>37</v>
      </c>
      <c r="C146" s="2" t="s">
        <v>5</v>
      </c>
      <c r="D146" s="2" t="s">
        <v>6</v>
      </c>
      <c r="E146" s="2" t="s">
        <v>7</v>
      </c>
      <c r="G146" s="2" t="s">
        <v>8</v>
      </c>
      <c r="H146" s="2" t="s">
        <v>9</v>
      </c>
      <c r="I146" s="2" t="s">
        <v>10</v>
      </c>
      <c r="K146" s="2" t="s">
        <v>11</v>
      </c>
      <c r="L146" s="2" t="s">
        <v>12</v>
      </c>
      <c r="M146" s="2" t="s">
        <v>13</v>
      </c>
    </row>
    <row r="147" spans="1:13">
      <c r="A147" t="s">
        <v>14</v>
      </c>
      <c r="C147" s="3">
        <v>2.0310000000000001</v>
      </c>
      <c r="D147" s="3">
        <v>3.43</v>
      </c>
      <c r="E147" s="3">
        <v>9.2129999999999992</v>
      </c>
      <c r="G147" s="3">
        <v>3.2240000000000002</v>
      </c>
      <c r="H147" s="3">
        <v>2.3650000000000002</v>
      </c>
      <c r="I147" s="3">
        <v>7.2889999999999997</v>
      </c>
      <c r="K147" s="3">
        <v>2.2850000000000001</v>
      </c>
      <c r="L147" s="3">
        <v>2.6989999999999998</v>
      </c>
      <c r="M147" s="3">
        <v>10.778</v>
      </c>
    </row>
    <row r="148" spans="1:13">
      <c r="A148" t="s">
        <v>15</v>
      </c>
      <c r="C148" s="3">
        <v>0</v>
      </c>
      <c r="D148" s="3">
        <v>0</v>
      </c>
      <c r="E148" s="3">
        <v>0</v>
      </c>
      <c r="G148" s="3">
        <v>0</v>
      </c>
      <c r="H148" s="3">
        <v>0</v>
      </c>
      <c r="I148" s="3">
        <v>0</v>
      </c>
      <c r="K148" s="3">
        <v>0</v>
      </c>
      <c r="L148" s="3">
        <v>0</v>
      </c>
      <c r="M148" s="3">
        <v>0</v>
      </c>
    </row>
    <row r="149" spans="1:13">
      <c r="A149" t="s">
        <v>16</v>
      </c>
      <c r="C149" s="3">
        <f>C148/C147</f>
        <v>0</v>
      </c>
      <c r="D149" s="3">
        <f>D148/D147</f>
        <v>0</v>
      </c>
      <c r="E149" s="3">
        <f>E148/E147</f>
        <v>0</v>
      </c>
      <c r="G149" s="3">
        <f>G148/G147</f>
        <v>0</v>
      </c>
      <c r="H149" s="3">
        <f>H148/H147</f>
        <v>0</v>
      </c>
      <c r="I149" s="3">
        <f>I148/I147</f>
        <v>0</v>
      </c>
      <c r="K149" s="3">
        <f>K148/K147</f>
        <v>0</v>
      </c>
      <c r="L149" s="3">
        <f>L148/L147</f>
        <v>0</v>
      </c>
      <c r="M149" s="3">
        <f>M148/M147</f>
        <v>0</v>
      </c>
    </row>
    <row r="150" spans="1:13">
      <c r="A150" t="s">
        <v>17</v>
      </c>
      <c r="C150" s="3">
        <v>0</v>
      </c>
      <c r="D150" s="3">
        <v>0</v>
      </c>
      <c r="E150" s="3">
        <v>0</v>
      </c>
      <c r="G150" s="3">
        <v>0</v>
      </c>
      <c r="H150" s="3">
        <v>0</v>
      </c>
      <c r="I150" s="3">
        <v>0</v>
      </c>
      <c r="K150" s="3">
        <v>0</v>
      </c>
      <c r="L150" s="3">
        <v>0</v>
      </c>
      <c r="M150" s="3">
        <v>0</v>
      </c>
    </row>
    <row r="151" spans="1:13">
      <c r="A151" t="s">
        <v>18</v>
      </c>
      <c r="C151" s="3">
        <v>0</v>
      </c>
      <c r="D151" s="3">
        <v>0</v>
      </c>
      <c r="E151" s="3">
        <v>0</v>
      </c>
      <c r="G151" s="3">
        <v>0</v>
      </c>
      <c r="H151" s="3">
        <v>0</v>
      </c>
      <c r="I151" s="3">
        <v>0</v>
      </c>
      <c r="K151" s="3">
        <v>0</v>
      </c>
      <c r="L151" s="3">
        <v>0</v>
      </c>
      <c r="M151" s="3">
        <v>0</v>
      </c>
    </row>
    <row r="152" spans="1:13">
      <c r="A152" t="s">
        <v>19</v>
      </c>
      <c r="C152" s="3">
        <f>C148*C151*C150-C150</f>
        <v>0</v>
      </c>
      <c r="D152" s="3">
        <f>D148*D151*D150-D150</f>
        <v>0</v>
      </c>
      <c r="E152" s="3">
        <f>E148*E151*E150-E150</f>
        <v>0</v>
      </c>
      <c r="G152" s="3">
        <f>G148*G151*G150-G150</f>
        <v>0</v>
      </c>
      <c r="H152" s="3">
        <f>H148*H151*H150-H150</f>
        <v>0</v>
      </c>
      <c r="I152" s="3">
        <f>I148*I151*I150-I150</f>
        <v>0</v>
      </c>
      <c r="K152" s="3">
        <f>K148*K151*K150-K150</f>
        <v>0</v>
      </c>
      <c r="L152" s="3">
        <f>L148*L151*L150-L150</f>
        <v>0</v>
      </c>
      <c r="M152" s="3">
        <f>M148*M151*M150-M150</f>
        <v>0</v>
      </c>
    </row>
    <row r="154" spans="1:13">
      <c r="A154" s="1" t="s">
        <v>34</v>
      </c>
      <c r="C154" s="1" t="s">
        <v>1</v>
      </c>
      <c r="E154" s="1">
        <f>0+C161+D161+E161 + E145</f>
        <v>-3.6</v>
      </c>
      <c r="G154" s="1" t="s">
        <v>2</v>
      </c>
      <c r="I154" s="1">
        <f>0+G161+H161+I161 + I145</f>
        <v>1.44</v>
      </c>
      <c r="K154" s="1" t="s">
        <v>3</v>
      </c>
      <c r="M154" s="1">
        <f>0+K161+L161+M161 + M145</f>
        <v>3.63</v>
      </c>
    </row>
    <row r="155" spans="1:13">
      <c r="A155" t="s">
        <v>38</v>
      </c>
      <c r="C155" s="2" t="s">
        <v>5</v>
      </c>
      <c r="D155" s="2" t="s">
        <v>6</v>
      </c>
      <c r="E155" s="2" t="s">
        <v>7</v>
      </c>
      <c r="G155" s="2" t="s">
        <v>8</v>
      </c>
      <c r="H155" s="2" t="s">
        <v>9</v>
      </c>
      <c r="I155" s="2" t="s">
        <v>10</v>
      </c>
      <c r="K155" s="2" t="s">
        <v>11</v>
      </c>
      <c r="L155" s="2" t="s">
        <v>12</v>
      </c>
      <c r="M155" s="2" t="s">
        <v>13</v>
      </c>
    </row>
    <row r="156" spans="1:13">
      <c r="A156" t="s">
        <v>14</v>
      </c>
      <c r="C156" s="3">
        <v>2.5430000000000001</v>
      </c>
      <c r="D156" s="3">
        <v>4.375</v>
      </c>
      <c r="E156" s="3">
        <v>4.9240000000000004</v>
      </c>
      <c r="G156" s="3">
        <v>2.169</v>
      </c>
      <c r="H156" s="3">
        <v>4.048</v>
      </c>
      <c r="I156" s="3">
        <v>7.0389999999999997</v>
      </c>
      <c r="K156" s="3">
        <v>3.4239999999999999</v>
      </c>
      <c r="L156" s="3">
        <v>5.1760000000000002</v>
      </c>
      <c r="M156" s="3">
        <v>2.577</v>
      </c>
    </row>
    <row r="157" spans="1:13">
      <c r="A157" t="s">
        <v>15</v>
      </c>
      <c r="C157" s="3">
        <v>0</v>
      </c>
      <c r="D157" s="3">
        <v>0</v>
      </c>
      <c r="E157" s="3">
        <v>0</v>
      </c>
      <c r="G157" s="3">
        <v>0</v>
      </c>
      <c r="H157" s="3">
        <v>0</v>
      </c>
      <c r="I157" s="3">
        <v>0</v>
      </c>
      <c r="K157" s="3">
        <v>0</v>
      </c>
      <c r="L157" s="3">
        <v>0</v>
      </c>
      <c r="M157" s="3">
        <v>0</v>
      </c>
    </row>
    <row r="158" spans="1:13">
      <c r="A158" t="s">
        <v>16</v>
      </c>
      <c r="C158" s="3">
        <f>C157/C156</f>
        <v>0</v>
      </c>
      <c r="D158" s="3">
        <f>D157/D156</f>
        <v>0</v>
      </c>
      <c r="E158" s="3">
        <f>E157/E156</f>
        <v>0</v>
      </c>
      <c r="G158" s="3">
        <f>G157/G156</f>
        <v>0</v>
      </c>
      <c r="H158" s="3">
        <f>H157/H156</f>
        <v>0</v>
      </c>
      <c r="I158" s="3">
        <f>I157/I156</f>
        <v>0</v>
      </c>
      <c r="K158" s="3">
        <f>K157/K156</f>
        <v>0</v>
      </c>
      <c r="L158" s="3">
        <f>L157/L156</f>
        <v>0</v>
      </c>
      <c r="M158" s="3">
        <f>M157/M156</f>
        <v>0</v>
      </c>
    </row>
    <row r="159" spans="1:13">
      <c r="A159" t="s">
        <v>17</v>
      </c>
      <c r="C159" s="3">
        <v>0</v>
      </c>
      <c r="D159" s="3">
        <v>0</v>
      </c>
      <c r="E159" s="3">
        <v>0</v>
      </c>
      <c r="G159" s="3">
        <v>0</v>
      </c>
      <c r="H159" s="3">
        <v>0</v>
      </c>
      <c r="I159" s="3">
        <v>0</v>
      </c>
      <c r="K159" s="3">
        <v>0</v>
      </c>
      <c r="L159" s="3">
        <v>0</v>
      </c>
      <c r="M159" s="3">
        <v>0</v>
      </c>
    </row>
    <row r="160" spans="1:13">
      <c r="A160" t="s">
        <v>18</v>
      </c>
      <c r="C160" s="3">
        <v>0</v>
      </c>
      <c r="D160" s="3">
        <v>0</v>
      </c>
      <c r="E160" s="3">
        <v>0</v>
      </c>
      <c r="G160" s="3">
        <v>0</v>
      </c>
      <c r="H160" s="3">
        <v>0</v>
      </c>
      <c r="I160" s="3">
        <v>0</v>
      </c>
      <c r="K160" s="3">
        <v>0</v>
      </c>
      <c r="L160" s="3">
        <v>0</v>
      </c>
      <c r="M160" s="3">
        <v>0</v>
      </c>
    </row>
    <row r="161" spans="1:13">
      <c r="A161" t="s">
        <v>19</v>
      </c>
      <c r="C161" s="3">
        <f>C157*C160*C159-C159</f>
        <v>0</v>
      </c>
      <c r="D161" s="3">
        <f>D157*D160*D159-D159</f>
        <v>0</v>
      </c>
      <c r="E161" s="3">
        <f>E157*E160*E159-E159</f>
        <v>0</v>
      </c>
      <c r="G161" s="3">
        <f>G157*G160*G159-G159</f>
        <v>0</v>
      </c>
      <c r="H161" s="3">
        <f>H157*H160*H159-H159</f>
        <v>0</v>
      </c>
      <c r="I161" s="3">
        <f>I157*I160*I159-I159</f>
        <v>0</v>
      </c>
      <c r="K161" s="3">
        <f>K157*K160*K159-K159</f>
        <v>0</v>
      </c>
      <c r="L161" s="3">
        <f>L157*L160*L159-L159</f>
        <v>0</v>
      </c>
      <c r="M161" s="3">
        <f>M157*M160*M159-M159</f>
        <v>0</v>
      </c>
    </row>
    <row r="163" spans="1:13">
      <c r="A163" s="1" t="s">
        <v>34</v>
      </c>
      <c r="C163" s="1" t="s">
        <v>1</v>
      </c>
      <c r="E163" s="1">
        <f>0+C170+D170+E170 + E154</f>
        <v>-3.6</v>
      </c>
      <c r="G163" s="1" t="s">
        <v>2</v>
      </c>
      <c r="I163" s="1">
        <f>0+G170+H170+I170 + I154</f>
        <v>1.44</v>
      </c>
      <c r="K163" s="1" t="s">
        <v>3</v>
      </c>
      <c r="M163" s="1">
        <f>0+K170+L170+M170 + M154</f>
        <v>3.63</v>
      </c>
    </row>
    <row r="164" spans="1:13">
      <c r="A164" t="s">
        <v>39</v>
      </c>
      <c r="C164" s="2" t="s">
        <v>5</v>
      </c>
      <c r="D164" s="2" t="s">
        <v>6</v>
      </c>
      <c r="E164" s="2" t="s">
        <v>7</v>
      </c>
      <c r="G164" s="2" t="s">
        <v>8</v>
      </c>
      <c r="H164" s="2" t="s">
        <v>9</v>
      </c>
      <c r="I164" s="2" t="s">
        <v>10</v>
      </c>
      <c r="K164" s="2" t="s">
        <v>11</v>
      </c>
      <c r="L164" s="2" t="s">
        <v>12</v>
      </c>
      <c r="M164" s="2" t="s">
        <v>13</v>
      </c>
    </row>
    <row r="165" spans="1:13">
      <c r="A165" t="s">
        <v>14</v>
      </c>
      <c r="C165" s="3">
        <v>20.12</v>
      </c>
      <c r="D165" s="3">
        <v>2.6579999999999999</v>
      </c>
      <c r="E165" s="3">
        <v>1.929</v>
      </c>
      <c r="G165" s="3">
        <v>44.58</v>
      </c>
      <c r="H165" s="3">
        <v>1.399</v>
      </c>
      <c r="I165" s="3">
        <v>2.8479999999999999</v>
      </c>
      <c r="K165" s="3">
        <v>17.015999999999998</v>
      </c>
      <c r="L165" s="3">
        <v>1.427</v>
      </c>
      <c r="M165" s="3">
        <v>5.7839999999999998</v>
      </c>
    </row>
    <row r="166" spans="1:13">
      <c r="A166" t="s">
        <v>15</v>
      </c>
      <c r="C166" s="3">
        <v>0</v>
      </c>
      <c r="D166" s="3">
        <v>0</v>
      </c>
      <c r="E166" s="3">
        <v>0</v>
      </c>
      <c r="G166" s="3">
        <v>0</v>
      </c>
      <c r="H166" s="3">
        <v>0</v>
      </c>
      <c r="I166" s="3">
        <v>0</v>
      </c>
      <c r="K166" s="3">
        <v>0</v>
      </c>
      <c r="L166" s="3">
        <v>0</v>
      </c>
      <c r="M166" s="3">
        <v>0</v>
      </c>
    </row>
    <row r="167" spans="1:13">
      <c r="A167" t="s">
        <v>16</v>
      </c>
      <c r="C167" s="3">
        <f>C166/C165</f>
        <v>0</v>
      </c>
      <c r="D167" s="3">
        <f>D166/D165</f>
        <v>0</v>
      </c>
      <c r="E167" s="3">
        <f>E166/E165</f>
        <v>0</v>
      </c>
      <c r="G167" s="3">
        <f>G166/G165</f>
        <v>0</v>
      </c>
      <c r="H167" s="3">
        <f>H166/H165</f>
        <v>0</v>
      </c>
      <c r="I167" s="3">
        <f>I166/I165</f>
        <v>0</v>
      </c>
      <c r="K167" s="3">
        <f>K166/K165</f>
        <v>0</v>
      </c>
      <c r="L167" s="3">
        <f>L166/L165</f>
        <v>0</v>
      </c>
      <c r="M167" s="3">
        <f>M166/M165</f>
        <v>0</v>
      </c>
    </row>
    <row r="168" spans="1:13">
      <c r="A168" t="s">
        <v>17</v>
      </c>
      <c r="C168" s="3">
        <v>0</v>
      </c>
      <c r="D168" s="3">
        <v>0</v>
      </c>
      <c r="E168" s="3">
        <v>0</v>
      </c>
      <c r="G168" s="3">
        <v>0</v>
      </c>
      <c r="H168" s="3">
        <v>0</v>
      </c>
      <c r="I168" s="3">
        <v>0</v>
      </c>
      <c r="K168" s="3">
        <v>0</v>
      </c>
      <c r="L168" s="3">
        <v>0</v>
      </c>
      <c r="M168" s="3">
        <v>0</v>
      </c>
    </row>
    <row r="169" spans="1:13">
      <c r="A169" t="s">
        <v>18</v>
      </c>
      <c r="C169" s="3">
        <v>0</v>
      </c>
      <c r="D169" s="3">
        <v>0</v>
      </c>
      <c r="E169" s="3">
        <v>0</v>
      </c>
      <c r="G169" s="3">
        <v>0</v>
      </c>
      <c r="H169" s="3">
        <v>0</v>
      </c>
      <c r="I169" s="3">
        <v>0</v>
      </c>
      <c r="K169" s="3">
        <v>0</v>
      </c>
      <c r="L169" s="3">
        <v>0</v>
      </c>
      <c r="M169" s="3">
        <v>0</v>
      </c>
    </row>
    <row r="170" spans="1:13">
      <c r="A170" t="s">
        <v>19</v>
      </c>
      <c r="C170" s="3">
        <f>C166*C169*C168-C168</f>
        <v>0</v>
      </c>
      <c r="D170" s="3">
        <f>D166*D169*D168-D168</f>
        <v>0</v>
      </c>
      <c r="E170" s="3">
        <f>E166*E169*E168-E168</f>
        <v>0</v>
      </c>
      <c r="G170" s="3">
        <f>G166*G169*G168-G168</f>
        <v>0</v>
      </c>
      <c r="H170" s="3">
        <f>H166*H169*H168-H168</f>
        <v>0</v>
      </c>
      <c r="I170" s="3">
        <f>I166*I169*I168-I168</f>
        <v>0</v>
      </c>
      <c r="K170" s="3">
        <f>K166*K169*K168-K168</f>
        <v>0</v>
      </c>
      <c r="L170" s="3">
        <f>L166*L169*L168-L168</f>
        <v>0</v>
      </c>
      <c r="M170" s="3">
        <f>M166*M169*M168-M168</f>
        <v>0</v>
      </c>
    </row>
    <row r="172" spans="1:13">
      <c r="A172" s="1" t="s">
        <v>34</v>
      </c>
      <c r="C172" s="1" t="s">
        <v>1</v>
      </c>
      <c r="E172" s="1">
        <f>0+C179+D179+E179 + E163</f>
        <v>-3.6</v>
      </c>
      <c r="G172" s="1" t="s">
        <v>2</v>
      </c>
      <c r="I172" s="1">
        <f>0+G179+H179+I179 + I163</f>
        <v>1.44</v>
      </c>
      <c r="K172" s="1" t="s">
        <v>3</v>
      </c>
      <c r="M172" s="1">
        <f>0+K179+L179+M179 + M163</f>
        <v>3.63</v>
      </c>
    </row>
    <row r="173" spans="1:13">
      <c r="A173" t="s">
        <v>40</v>
      </c>
      <c r="C173" s="2" t="s">
        <v>5</v>
      </c>
      <c r="D173" s="2" t="s">
        <v>6</v>
      </c>
      <c r="E173" s="2" t="s">
        <v>7</v>
      </c>
      <c r="G173" s="2" t="s">
        <v>8</v>
      </c>
      <c r="H173" s="2" t="s">
        <v>9</v>
      </c>
      <c r="I173" s="2" t="s">
        <v>10</v>
      </c>
      <c r="K173" s="2" t="s">
        <v>11</v>
      </c>
      <c r="L173" s="2" t="s">
        <v>12</v>
      </c>
      <c r="M173" s="2" t="s">
        <v>13</v>
      </c>
    </row>
    <row r="174" spans="1:13">
      <c r="A174" t="s">
        <v>14</v>
      </c>
      <c r="C174" s="3">
        <v>8.7530000000000001</v>
      </c>
      <c r="D174" s="3">
        <v>7.7359999999999998</v>
      </c>
      <c r="E174" s="3">
        <v>1.53</v>
      </c>
      <c r="G174" s="3">
        <v>5.1589999999999998</v>
      </c>
      <c r="H174" s="3">
        <v>3.9550000000000001</v>
      </c>
      <c r="I174" s="3">
        <v>2.371</v>
      </c>
      <c r="K174" s="3">
        <v>12.564</v>
      </c>
      <c r="L174" s="3">
        <v>2.0059999999999998</v>
      </c>
      <c r="M174" s="3">
        <v>2.9649999999999999</v>
      </c>
    </row>
    <row r="175" spans="1:13">
      <c r="A175" t="s">
        <v>15</v>
      </c>
      <c r="C175" s="3">
        <v>0</v>
      </c>
      <c r="D175" s="3">
        <v>0</v>
      </c>
      <c r="E175" s="3">
        <v>0</v>
      </c>
      <c r="G175" s="3">
        <v>0</v>
      </c>
      <c r="H175" s="3">
        <v>0</v>
      </c>
      <c r="I175" s="3">
        <v>0</v>
      </c>
      <c r="K175" s="3">
        <v>0</v>
      </c>
      <c r="L175" s="3">
        <v>0</v>
      </c>
      <c r="M175" s="3">
        <v>0</v>
      </c>
    </row>
    <row r="176" spans="1:13">
      <c r="A176" t="s">
        <v>16</v>
      </c>
      <c r="C176" s="3">
        <f>C175/C174</f>
        <v>0</v>
      </c>
      <c r="D176" s="3">
        <f>D175/D174</f>
        <v>0</v>
      </c>
      <c r="E176" s="3">
        <f>E175/E174</f>
        <v>0</v>
      </c>
      <c r="G176" s="3">
        <f>G175/G174</f>
        <v>0</v>
      </c>
      <c r="H176" s="3">
        <f>H175/H174</f>
        <v>0</v>
      </c>
      <c r="I176" s="3">
        <f>I175/I174</f>
        <v>0</v>
      </c>
      <c r="K176" s="3">
        <f>K175/K174</f>
        <v>0</v>
      </c>
      <c r="L176" s="3">
        <f>L175/L174</f>
        <v>0</v>
      </c>
      <c r="M176" s="3">
        <f>M175/M174</f>
        <v>0</v>
      </c>
    </row>
    <row r="177" spans="1:13">
      <c r="A177" t="s">
        <v>17</v>
      </c>
      <c r="C177" s="3">
        <v>0</v>
      </c>
      <c r="D177" s="3">
        <v>0</v>
      </c>
      <c r="E177" s="3">
        <v>0</v>
      </c>
      <c r="G177" s="3">
        <v>0</v>
      </c>
      <c r="H177" s="3">
        <v>0</v>
      </c>
      <c r="I177" s="3">
        <v>0</v>
      </c>
      <c r="K177" s="3">
        <v>0</v>
      </c>
      <c r="L177" s="3">
        <v>0</v>
      </c>
      <c r="M177" s="3">
        <v>0</v>
      </c>
    </row>
    <row r="178" spans="1:13">
      <c r="A178" t="s">
        <v>18</v>
      </c>
      <c r="C178" s="3">
        <v>0</v>
      </c>
      <c r="D178" s="3">
        <v>0</v>
      </c>
      <c r="E178" s="3">
        <v>0</v>
      </c>
      <c r="G178" s="3">
        <v>0</v>
      </c>
      <c r="H178" s="3">
        <v>0</v>
      </c>
      <c r="I178" s="3">
        <v>0</v>
      </c>
      <c r="K178" s="3">
        <v>0</v>
      </c>
      <c r="L178" s="3">
        <v>0</v>
      </c>
      <c r="M178" s="3">
        <v>0</v>
      </c>
    </row>
    <row r="179" spans="1:13">
      <c r="A179" t="s">
        <v>19</v>
      </c>
      <c r="C179" s="3">
        <f>C175*C178*C177-C177</f>
        <v>0</v>
      </c>
      <c r="D179" s="3">
        <f>D175*D178*D177-D177</f>
        <v>0</v>
      </c>
      <c r="E179" s="3">
        <f>E175*E178*E177-E177</f>
        <v>0</v>
      </c>
      <c r="G179" s="3">
        <f>G175*G178*G177-G177</f>
        <v>0</v>
      </c>
      <c r="H179" s="3">
        <f>H175*H178*H177-H177</f>
        <v>0</v>
      </c>
      <c r="I179" s="3">
        <f>I175*I178*I177-I177</f>
        <v>0</v>
      </c>
      <c r="K179" s="3">
        <f>K175*K178*K177-K177</f>
        <v>0</v>
      </c>
      <c r="L179" s="3">
        <f>L175*L178*L177-L177</f>
        <v>0</v>
      </c>
      <c r="M179" s="3">
        <f>M175*M178*M177-M177</f>
        <v>0</v>
      </c>
    </row>
    <row r="181" spans="1:13">
      <c r="A181" s="1" t="s">
        <v>34</v>
      </c>
      <c r="C181" s="1" t="s">
        <v>1</v>
      </c>
      <c r="E181" s="1">
        <f>0+C188+D188+E188 + E172</f>
        <v>-3.6</v>
      </c>
      <c r="G181" s="1" t="s">
        <v>2</v>
      </c>
      <c r="I181" s="1">
        <f>0+G188+H188+I188 + I172</f>
        <v>1.44</v>
      </c>
      <c r="K181" s="1" t="s">
        <v>3</v>
      </c>
      <c r="M181" s="1">
        <f>0+K188+L188+M188 + M172</f>
        <v>3.63</v>
      </c>
    </row>
    <row r="182" spans="1:13">
      <c r="A182" t="s">
        <v>41</v>
      </c>
      <c r="C182" s="2" t="s">
        <v>5</v>
      </c>
      <c r="D182" s="2" t="s">
        <v>6</v>
      </c>
      <c r="E182" s="2" t="s">
        <v>7</v>
      </c>
      <c r="G182" s="2" t="s">
        <v>8</v>
      </c>
      <c r="H182" s="2" t="s">
        <v>9</v>
      </c>
      <c r="I182" s="2" t="s">
        <v>10</v>
      </c>
      <c r="K182" s="2" t="s">
        <v>11</v>
      </c>
      <c r="L182" s="2" t="s">
        <v>12</v>
      </c>
      <c r="M182" s="2" t="s">
        <v>13</v>
      </c>
    </row>
    <row r="183" spans="1:13">
      <c r="A183" t="s">
        <v>14</v>
      </c>
      <c r="C183" s="3">
        <v>5.5060000000000002</v>
      </c>
      <c r="D183" s="3">
        <v>8.3379999999999992</v>
      </c>
      <c r="E183" s="3">
        <v>1.74</v>
      </c>
      <c r="G183" s="3">
        <v>8.1530000000000005</v>
      </c>
      <c r="H183" s="3">
        <v>3.3370000000000002</v>
      </c>
      <c r="I183" s="3">
        <v>2.1619999999999999</v>
      </c>
      <c r="K183" s="3">
        <v>4.673</v>
      </c>
      <c r="L183" s="3">
        <v>4.7329999999999997</v>
      </c>
      <c r="M183" s="3">
        <v>2.222</v>
      </c>
    </row>
    <row r="184" spans="1:13">
      <c r="A184" t="s">
        <v>15</v>
      </c>
      <c r="C184" s="3">
        <v>0</v>
      </c>
      <c r="D184" s="3">
        <v>0</v>
      </c>
      <c r="E184" s="3">
        <v>0</v>
      </c>
      <c r="G184" s="3">
        <v>0</v>
      </c>
      <c r="H184" s="3">
        <v>0</v>
      </c>
      <c r="I184" s="3">
        <v>0</v>
      </c>
      <c r="K184" s="3">
        <v>0</v>
      </c>
      <c r="L184" s="3">
        <v>0</v>
      </c>
      <c r="M184" s="3">
        <v>0</v>
      </c>
    </row>
    <row r="185" spans="1:13">
      <c r="A185" t="s">
        <v>16</v>
      </c>
      <c r="C185" s="3">
        <f>C184/C183</f>
        <v>0</v>
      </c>
      <c r="D185" s="3">
        <f>D184/D183</f>
        <v>0</v>
      </c>
      <c r="E185" s="3">
        <f>E184/E183</f>
        <v>0</v>
      </c>
      <c r="G185" s="3">
        <f>G184/G183</f>
        <v>0</v>
      </c>
      <c r="H185" s="3">
        <f>H184/H183</f>
        <v>0</v>
      </c>
      <c r="I185" s="3">
        <f>I184/I183</f>
        <v>0</v>
      </c>
      <c r="K185" s="3">
        <f>K184/K183</f>
        <v>0</v>
      </c>
      <c r="L185" s="3">
        <f>L184/L183</f>
        <v>0</v>
      </c>
      <c r="M185" s="3">
        <f>M184/M183</f>
        <v>0</v>
      </c>
    </row>
    <row r="186" spans="1:13">
      <c r="A186" t="s">
        <v>17</v>
      </c>
      <c r="C186" s="3">
        <v>0</v>
      </c>
      <c r="D186" s="3">
        <v>0</v>
      </c>
      <c r="E186" s="3">
        <v>0</v>
      </c>
      <c r="G186" s="3">
        <v>0</v>
      </c>
      <c r="H186" s="3">
        <v>0</v>
      </c>
      <c r="I186" s="3">
        <v>0</v>
      </c>
      <c r="K186" s="3">
        <v>0</v>
      </c>
      <c r="L186" s="3">
        <v>0</v>
      </c>
      <c r="M186" s="3">
        <v>0</v>
      </c>
    </row>
    <row r="187" spans="1:13">
      <c r="A187" t="s">
        <v>18</v>
      </c>
      <c r="C187" s="3">
        <v>0</v>
      </c>
      <c r="D187" s="3">
        <v>0</v>
      </c>
      <c r="E187" s="3">
        <v>0</v>
      </c>
      <c r="G187" s="3">
        <v>0</v>
      </c>
      <c r="H187" s="3">
        <v>0</v>
      </c>
      <c r="I187" s="3">
        <v>0</v>
      </c>
      <c r="K187" s="3">
        <v>0</v>
      </c>
      <c r="L187" s="3">
        <v>0</v>
      </c>
      <c r="M187" s="3">
        <v>0</v>
      </c>
    </row>
    <row r="188" spans="1:13">
      <c r="A188" t="s">
        <v>19</v>
      </c>
      <c r="C188" s="3">
        <f>C184*C187*C186-C186</f>
        <v>0</v>
      </c>
      <c r="D188" s="3">
        <f>D184*D187*D186-D186</f>
        <v>0</v>
      </c>
      <c r="E188" s="3">
        <f>E184*E187*E186-E186</f>
        <v>0</v>
      </c>
      <c r="G188" s="3">
        <f>G184*G187*G186-G186</f>
        <v>0</v>
      </c>
      <c r="H188" s="3">
        <f>H184*H187*H186-H186</f>
        <v>0</v>
      </c>
      <c r="I188" s="3">
        <f>I184*I187*I186-I186</f>
        <v>0</v>
      </c>
      <c r="K188" s="3">
        <f>K184*K187*K186-K186</f>
        <v>0</v>
      </c>
      <c r="L188" s="3">
        <f>L184*L187*L186-L186</f>
        <v>0</v>
      </c>
      <c r="M188" s="3">
        <f>M184*M187*M186-M186</f>
        <v>0</v>
      </c>
    </row>
    <row r="190" spans="1:13">
      <c r="A190" s="1" t="s">
        <v>42</v>
      </c>
      <c r="C190" s="1" t="s">
        <v>1</v>
      </c>
      <c r="E190" s="1">
        <f>0+C197+D197+E197 + E181</f>
        <v>-3.6</v>
      </c>
      <c r="G190" s="1" t="s">
        <v>2</v>
      </c>
      <c r="I190" s="1">
        <f>0+G197+H197+I197 + I181</f>
        <v>1.44</v>
      </c>
      <c r="K190" s="1" t="s">
        <v>3</v>
      </c>
      <c r="M190" s="1">
        <f>0+K197+L197+M197 + M181</f>
        <v>3.63</v>
      </c>
    </row>
    <row r="191" spans="1:13">
      <c r="A191" t="s">
        <v>43</v>
      </c>
      <c r="C191" s="2" t="s">
        <v>5</v>
      </c>
      <c r="D191" s="2" t="s">
        <v>6</v>
      </c>
      <c r="E191" s="2" t="s">
        <v>7</v>
      </c>
      <c r="G191" s="2" t="s">
        <v>8</v>
      </c>
      <c r="H191" s="2" t="s">
        <v>9</v>
      </c>
      <c r="I191" s="2" t="s">
        <v>10</v>
      </c>
      <c r="K191" s="2" t="s">
        <v>11</v>
      </c>
      <c r="L191" s="2" t="s">
        <v>12</v>
      </c>
      <c r="M191" s="2" t="s">
        <v>13</v>
      </c>
    </row>
    <row r="192" spans="1:13">
      <c r="A192" t="s">
        <v>14</v>
      </c>
      <c r="C192" s="3">
        <v>1.726</v>
      </c>
      <c r="D192" s="3">
        <v>5.2190000000000003</v>
      </c>
      <c r="E192" s="3">
        <v>7.1609999999999996</v>
      </c>
      <c r="G192" s="3">
        <v>4.2249999999999996</v>
      </c>
      <c r="H192" s="3">
        <v>2.754</v>
      </c>
      <c r="I192" s="3">
        <v>4.1929999999999996</v>
      </c>
      <c r="K192" s="3">
        <v>2.1429999999999998</v>
      </c>
      <c r="L192" s="3">
        <v>2.5150000000000001</v>
      </c>
      <c r="M192" s="3">
        <v>11.518000000000001</v>
      </c>
    </row>
    <row r="193" spans="1:13">
      <c r="A193" t="s">
        <v>15</v>
      </c>
      <c r="C193" s="3">
        <v>0</v>
      </c>
      <c r="D193" s="3">
        <v>0</v>
      </c>
      <c r="E193" s="3">
        <v>0</v>
      </c>
      <c r="G193" s="3">
        <v>0</v>
      </c>
      <c r="H193" s="3">
        <v>0</v>
      </c>
      <c r="I193" s="3">
        <v>0</v>
      </c>
      <c r="K193" s="3">
        <v>0</v>
      </c>
      <c r="L193" s="3">
        <v>0</v>
      </c>
      <c r="M193" s="3">
        <v>0</v>
      </c>
    </row>
    <row r="194" spans="1:13">
      <c r="A194" t="s">
        <v>16</v>
      </c>
      <c r="C194" s="3">
        <f>C193/C192</f>
        <v>0</v>
      </c>
      <c r="D194" s="3">
        <f>D193/D192</f>
        <v>0</v>
      </c>
      <c r="E194" s="3">
        <f>E193/E192</f>
        <v>0</v>
      </c>
      <c r="G194" s="3">
        <f>G193/G192</f>
        <v>0</v>
      </c>
      <c r="H194" s="3">
        <f>H193/H192</f>
        <v>0</v>
      </c>
      <c r="I194" s="3">
        <f>I193/I192</f>
        <v>0</v>
      </c>
      <c r="K194" s="3">
        <f>K193/K192</f>
        <v>0</v>
      </c>
      <c r="L194" s="3">
        <f>L193/L192</f>
        <v>0</v>
      </c>
      <c r="M194" s="3">
        <f>M193/M192</f>
        <v>0</v>
      </c>
    </row>
    <row r="195" spans="1:13">
      <c r="A195" t="s">
        <v>17</v>
      </c>
      <c r="C195" s="3">
        <v>0</v>
      </c>
      <c r="D195" s="3">
        <v>0</v>
      </c>
      <c r="E195" s="3">
        <v>0</v>
      </c>
      <c r="G195" s="3">
        <v>0</v>
      </c>
      <c r="H195" s="3">
        <v>0</v>
      </c>
      <c r="I195" s="3">
        <v>0</v>
      </c>
      <c r="K195" s="3">
        <v>0</v>
      </c>
      <c r="L195" s="3">
        <v>0</v>
      </c>
      <c r="M195" s="3">
        <v>0</v>
      </c>
    </row>
    <row r="196" spans="1:13">
      <c r="A196" t="s">
        <v>18</v>
      </c>
      <c r="C196" s="3">
        <v>0</v>
      </c>
      <c r="D196" s="3">
        <v>0</v>
      </c>
      <c r="E196" s="3">
        <v>0</v>
      </c>
      <c r="G196" s="3">
        <v>0</v>
      </c>
      <c r="H196" s="3">
        <v>0</v>
      </c>
      <c r="I196" s="3">
        <v>0</v>
      </c>
      <c r="K196" s="3">
        <v>0</v>
      </c>
      <c r="L196" s="3">
        <v>0</v>
      </c>
      <c r="M196" s="3">
        <v>0</v>
      </c>
    </row>
    <row r="197" spans="1:13">
      <c r="A197" t="s">
        <v>19</v>
      </c>
      <c r="C197" s="3">
        <f>C193*C196*C195-C195</f>
        <v>0</v>
      </c>
      <c r="D197" s="3">
        <f>D193*D196*D195-D195</f>
        <v>0</v>
      </c>
      <c r="E197" s="3">
        <f>E193*E196*E195-E195</f>
        <v>0</v>
      </c>
      <c r="G197" s="3">
        <f>G193*G196*G195-G195</f>
        <v>0</v>
      </c>
      <c r="H197" s="3">
        <f>H193*H196*H195-H195</f>
        <v>0</v>
      </c>
      <c r="I197" s="3">
        <f>I193*I196*I195-I195</f>
        <v>0</v>
      </c>
      <c r="K197" s="3">
        <f>K193*K196*K195-K195</f>
        <v>0</v>
      </c>
      <c r="L197" s="3">
        <f>L193*L196*L195-L195</f>
        <v>0</v>
      </c>
      <c r="M197" s="3">
        <f>M193*M196*M195-M195</f>
        <v>0</v>
      </c>
    </row>
    <row r="199" spans="1:13">
      <c r="A199" s="1" t="s">
        <v>42</v>
      </c>
      <c r="C199" s="1" t="s">
        <v>1</v>
      </c>
      <c r="E199" s="1">
        <f>0+C206+D206+E206 + E190</f>
        <v>-3.6</v>
      </c>
      <c r="G199" s="1" t="s">
        <v>2</v>
      </c>
      <c r="I199" s="1">
        <f>0+G206+H206+I206 + I190</f>
        <v>1.44</v>
      </c>
      <c r="K199" s="1" t="s">
        <v>3</v>
      </c>
      <c r="M199" s="1">
        <f>0+K206+L206+M206 + M190</f>
        <v>3.63</v>
      </c>
    </row>
    <row r="200" spans="1:13">
      <c r="A200" t="s">
        <v>44</v>
      </c>
      <c r="C200" s="2" t="s">
        <v>5</v>
      </c>
      <c r="D200" s="2" t="s">
        <v>6</v>
      </c>
      <c r="E200" s="2" t="s">
        <v>7</v>
      </c>
      <c r="G200" s="2" t="s">
        <v>8</v>
      </c>
      <c r="H200" s="2" t="s">
        <v>9</v>
      </c>
      <c r="I200" s="2" t="s">
        <v>10</v>
      </c>
      <c r="K200" s="2" t="s">
        <v>11</v>
      </c>
      <c r="L200" s="2" t="s">
        <v>12</v>
      </c>
      <c r="M200" s="2" t="s">
        <v>13</v>
      </c>
    </row>
    <row r="201" spans="1:13">
      <c r="A201" t="s">
        <v>14</v>
      </c>
      <c r="C201" s="3">
        <v>2.4609999999999999</v>
      </c>
      <c r="D201" s="3">
        <v>3.0819999999999999</v>
      </c>
      <c r="E201" s="3">
        <v>7.2939999999999996</v>
      </c>
      <c r="G201" s="3">
        <v>2.3929999999999998</v>
      </c>
      <c r="H201" s="3">
        <v>2.9119999999999999</v>
      </c>
      <c r="I201" s="3">
        <v>9.7479999999999993</v>
      </c>
      <c r="K201" s="3">
        <v>2.9359999999999999</v>
      </c>
      <c r="L201" s="3">
        <v>6.6239999999999997</v>
      </c>
      <c r="M201" s="3">
        <v>2.5920000000000001</v>
      </c>
    </row>
    <row r="202" spans="1:13">
      <c r="A202" t="s">
        <v>15</v>
      </c>
      <c r="C202" s="3">
        <v>0</v>
      </c>
      <c r="D202" s="3">
        <v>0</v>
      </c>
      <c r="E202" s="3">
        <v>0</v>
      </c>
      <c r="G202" s="3">
        <v>0</v>
      </c>
      <c r="H202" s="3">
        <v>0</v>
      </c>
      <c r="I202" s="3">
        <v>0</v>
      </c>
      <c r="K202" s="3">
        <v>0</v>
      </c>
      <c r="L202" s="3">
        <v>0</v>
      </c>
      <c r="M202" s="3">
        <v>0</v>
      </c>
    </row>
    <row r="203" spans="1:13">
      <c r="A203" t="s">
        <v>16</v>
      </c>
      <c r="C203" s="3">
        <f>C202/C201</f>
        <v>0</v>
      </c>
      <c r="D203" s="3">
        <f>D202/D201</f>
        <v>0</v>
      </c>
      <c r="E203" s="3">
        <f>E202/E201</f>
        <v>0</v>
      </c>
      <c r="G203" s="3">
        <f>G202/G201</f>
        <v>0</v>
      </c>
      <c r="H203" s="3">
        <f>H202/H201</f>
        <v>0</v>
      </c>
      <c r="I203" s="3">
        <f>I202/I201</f>
        <v>0</v>
      </c>
      <c r="K203" s="3">
        <f>K202/K201</f>
        <v>0</v>
      </c>
      <c r="L203" s="3">
        <f>L202/L201</f>
        <v>0</v>
      </c>
      <c r="M203" s="3">
        <f>M202/M201</f>
        <v>0</v>
      </c>
    </row>
    <row r="204" spans="1:13">
      <c r="A204" t="s">
        <v>17</v>
      </c>
      <c r="C204" s="3">
        <v>0</v>
      </c>
      <c r="D204" s="3">
        <v>0</v>
      </c>
      <c r="E204" s="3">
        <v>0</v>
      </c>
      <c r="G204" s="3">
        <v>0</v>
      </c>
      <c r="H204" s="3">
        <v>0</v>
      </c>
      <c r="I204" s="3">
        <v>0</v>
      </c>
      <c r="K204" s="3">
        <v>0</v>
      </c>
      <c r="L204" s="3">
        <v>0</v>
      </c>
      <c r="M204" s="3">
        <v>0</v>
      </c>
    </row>
    <row r="205" spans="1:13">
      <c r="A205" t="s">
        <v>18</v>
      </c>
      <c r="C205" s="3">
        <v>0</v>
      </c>
      <c r="D205" s="3">
        <v>0</v>
      </c>
      <c r="E205" s="3">
        <v>0</v>
      </c>
      <c r="G205" s="3">
        <v>0</v>
      </c>
      <c r="H205" s="3">
        <v>0</v>
      </c>
      <c r="I205" s="3">
        <v>0</v>
      </c>
      <c r="K205" s="3">
        <v>0</v>
      </c>
      <c r="L205" s="3">
        <v>0</v>
      </c>
      <c r="M205" s="3">
        <v>0</v>
      </c>
    </row>
    <row r="206" spans="1:13">
      <c r="A206" t="s">
        <v>19</v>
      </c>
      <c r="C206" s="3">
        <f>C202*C205*C204-C204</f>
        <v>0</v>
      </c>
      <c r="D206" s="3">
        <f>D202*D205*D204-D204</f>
        <v>0</v>
      </c>
      <c r="E206" s="3">
        <f>E202*E205*E204-E204</f>
        <v>0</v>
      </c>
      <c r="G206" s="3">
        <f>G202*G205*G204-G204</f>
        <v>0</v>
      </c>
      <c r="H206" s="3">
        <f>H202*H205*H204-H204</f>
        <v>0</v>
      </c>
      <c r="I206" s="3">
        <f>I202*I205*I204-I204</f>
        <v>0</v>
      </c>
      <c r="K206" s="3">
        <f>K202*K205*K204-K204</f>
        <v>0</v>
      </c>
      <c r="L206" s="3">
        <f>L202*L205*L204-L204</f>
        <v>0</v>
      </c>
      <c r="M206" s="3">
        <f>M202*M205*M204-M204</f>
        <v>0</v>
      </c>
    </row>
    <row r="208" spans="1:13">
      <c r="A208" s="1" t="s">
        <v>42</v>
      </c>
      <c r="C208" s="1" t="s">
        <v>1</v>
      </c>
      <c r="E208" s="1">
        <f>0+C215+D215+E215 + E199</f>
        <v>-3.6</v>
      </c>
      <c r="G208" s="1" t="s">
        <v>2</v>
      </c>
      <c r="I208" s="1">
        <f>0+G215+H215+I215 + I199</f>
        <v>1.44</v>
      </c>
      <c r="K208" s="1" t="s">
        <v>3</v>
      </c>
      <c r="M208" s="1">
        <f>0+K215+L215+M215 + M199</f>
        <v>3.63</v>
      </c>
    </row>
    <row r="209" spans="1:13">
      <c r="A209" t="s">
        <v>45</v>
      </c>
      <c r="C209" s="2" t="s">
        <v>5</v>
      </c>
      <c r="D209" s="2" t="s">
        <v>6</v>
      </c>
      <c r="E209" s="2" t="s">
        <v>7</v>
      </c>
      <c r="G209" s="2" t="s">
        <v>8</v>
      </c>
      <c r="H209" s="2" t="s">
        <v>9</v>
      </c>
      <c r="I209" s="2" t="s">
        <v>10</v>
      </c>
      <c r="K209" s="2" t="s">
        <v>11</v>
      </c>
      <c r="L209" s="2" t="s">
        <v>12</v>
      </c>
      <c r="M209" s="2" t="s">
        <v>13</v>
      </c>
    </row>
    <row r="210" spans="1:13">
      <c r="A210" t="s">
        <v>14</v>
      </c>
      <c r="C210" s="3">
        <v>6.2309999999999999</v>
      </c>
      <c r="D210" s="3">
        <v>7.3280000000000003</v>
      </c>
      <c r="E210" s="3">
        <v>1.577</v>
      </c>
      <c r="G210" s="3">
        <v>4.3780000000000001</v>
      </c>
      <c r="H210" s="3">
        <v>2.7839999999999998</v>
      </c>
      <c r="I210" s="3">
        <v>3.8250000000000002</v>
      </c>
      <c r="K210" s="3">
        <v>5.7759999999999998</v>
      </c>
      <c r="L210" s="3">
        <v>4.3129999999999997</v>
      </c>
      <c r="M210" s="3">
        <v>2.109</v>
      </c>
    </row>
    <row r="211" spans="1:13">
      <c r="A211" t="s">
        <v>15</v>
      </c>
      <c r="C211" s="3">
        <v>0</v>
      </c>
      <c r="D211" s="3">
        <v>0</v>
      </c>
      <c r="E211" s="3">
        <v>0</v>
      </c>
      <c r="G211" s="3">
        <v>0</v>
      </c>
      <c r="H211" s="3">
        <v>0</v>
      </c>
      <c r="I211" s="3">
        <v>0</v>
      </c>
      <c r="K211" s="3">
        <v>0</v>
      </c>
      <c r="L211" s="3">
        <v>0</v>
      </c>
      <c r="M211" s="3">
        <v>0</v>
      </c>
    </row>
    <row r="212" spans="1:13">
      <c r="A212" t="s">
        <v>16</v>
      </c>
      <c r="C212" s="3">
        <f>C211/C210</f>
        <v>0</v>
      </c>
      <c r="D212" s="3">
        <f>D211/D210</f>
        <v>0</v>
      </c>
      <c r="E212" s="3">
        <f>E211/E210</f>
        <v>0</v>
      </c>
      <c r="G212" s="3">
        <f>G211/G210</f>
        <v>0</v>
      </c>
      <c r="H212" s="3">
        <f>H211/H210</f>
        <v>0</v>
      </c>
      <c r="I212" s="3">
        <f>I211/I210</f>
        <v>0</v>
      </c>
      <c r="K212" s="3">
        <f>K211/K210</f>
        <v>0</v>
      </c>
      <c r="L212" s="3">
        <f>L211/L210</f>
        <v>0</v>
      </c>
      <c r="M212" s="3">
        <f>M211/M210</f>
        <v>0</v>
      </c>
    </row>
    <row r="213" spans="1:13">
      <c r="A213" t="s">
        <v>17</v>
      </c>
      <c r="C213" s="3">
        <v>0</v>
      </c>
      <c r="D213" s="3">
        <v>0</v>
      </c>
      <c r="E213" s="3">
        <v>0</v>
      </c>
      <c r="G213" s="3">
        <v>0</v>
      </c>
      <c r="H213" s="3">
        <v>0</v>
      </c>
      <c r="I213" s="3">
        <v>0</v>
      </c>
      <c r="K213" s="3">
        <v>0</v>
      </c>
      <c r="L213" s="3">
        <v>0</v>
      </c>
      <c r="M213" s="3">
        <v>0</v>
      </c>
    </row>
    <row r="214" spans="1:13">
      <c r="A214" t="s">
        <v>18</v>
      </c>
      <c r="C214" s="3">
        <v>0</v>
      </c>
      <c r="D214" s="3">
        <v>0</v>
      </c>
      <c r="E214" s="3">
        <v>0</v>
      </c>
      <c r="G214" s="3">
        <v>0</v>
      </c>
      <c r="H214" s="3">
        <v>0</v>
      </c>
      <c r="I214" s="3">
        <v>0</v>
      </c>
      <c r="K214" s="3">
        <v>0</v>
      </c>
      <c r="L214" s="3">
        <v>0</v>
      </c>
      <c r="M214" s="3">
        <v>0</v>
      </c>
    </row>
    <row r="215" spans="1:13">
      <c r="A215" t="s">
        <v>19</v>
      </c>
      <c r="C215" s="3">
        <f>C211*C214*C213-C213</f>
        <v>0</v>
      </c>
      <c r="D215" s="3">
        <f>D211*D214*D213-D213</f>
        <v>0</v>
      </c>
      <c r="E215" s="3">
        <f>E211*E214*E213-E213</f>
        <v>0</v>
      </c>
      <c r="G215" s="3">
        <f>G211*G214*G213-G213</f>
        <v>0</v>
      </c>
      <c r="H215" s="3">
        <f>H211*H214*H213-H213</f>
        <v>0</v>
      </c>
      <c r="I215" s="3">
        <f>I211*I214*I213-I213</f>
        <v>0</v>
      </c>
      <c r="K215" s="3">
        <f>K211*K214*K213-K213</f>
        <v>0</v>
      </c>
      <c r="L215" s="3">
        <f>L211*L214*L213-L213</f>
        <v>0</v>
      </c>
      <c r="M215" s="3">
        <f>M211*M214*M213-M213</f>
        <v>0</v>
      </c>
    </row>
    <row r="217" spans="1:13">
      <c r="A217" s="1" t="s">
        <v>42</v>
      </c>
      <c r="C217" s="1" t="s">
        <v>1</v>
      </c>
      <c r="E217" s="1">
        <f>0+C224+D224+E224 + E208</f>
        <v>-3.6</v>
      </c>
      <c r="G217" s="1" t="s">
        <v>2</v>
      </c>
      <c r="I217" s="1">
        <f>0+G224+H224+I224 + I208</f>
        <v>1.44</v>
      </c>
      <c r="K217" s="1" t="s">
        <v>3</v>
      </c>
      <c r="M217" s="1">
        <f>0+K224+L224+M224 + M208</f>
        <v>3.63</v>
      </c>
    </row>
    <row r="218" spans="1:13">
      <c r="A218" t="s">
        <v>46</v>
      </c>
      <c r="C218" s="2" t="s">
        <v>5</v>
      </c>
      <c r="D218" s="2" t="s">
        <v>6</v>
      </c>
      <c r="E218" s="2" t="s">
        <v>7</v>
      </c>
      <c r="G218" s="2" t="s">
        <v>8</v>
      </c>
      <c r="H218" s="2" t="s">
        <v>9</v>
      </c>
      <c r="I218" s="2" t="s">
        <v>10</v>
      </c>
      <c r="K218" s="2" t="s">
        <v>11</v>
      </c>
      <c r="L218" s="2" t="s">
        <v>12</v>
      </c>
      <c r="M218" s="2" t="s">
        <v>13</v>
      </c>
    </row>
    <row r="219" spans="1:13">
      <c r="A219" t="s">
        <v>14</v>
      </c>
      <c r="C219" s="3">
        <v>1.2649999999999999</v>
      </c>
      <c r="D219" s="3">
        <v>17.172000000000001</v>
      </c>
      <c r="E219" s="3">
        <v>7.3979999999999997</v>
      </c>
      <c r="G219" s="3">
        <v>1.661</v>
      </c>
      <c r="H219" s="3">
        <v>6.1139999999999999</v>
      </c>
      <c r="I219" s="3">
        <v>7.0839999999999996</v>
      </c>
      <c r="K219" s="3">
        <v>2.4710000000000001</v>
      </c>
      <c r="L219" s="3">
        <v>3.85</v>
      </c>
      <c r="M219" s="3">
        <v>5.1619999999999999</v>
      </c>
    </row>
    <row r="220" spans="1:13">
      <c r="A220" t="s">
        <v>15</v>
      </c>
      <c r="C220" s="3">
        <v>0</v>
      </c>
      <c r="D220" s="3">
        <v>0</v>
      </c>
      <c r="E220" s="3">
        <v>0</v>
      </c>
      <c r="G220" s="3">
        <v>0</v>
      </c>
      <c r="H220" s="3">
        <v>0</v>
      </c>
      <c r="I220" s="3">
        <v>0</v>
      </c>
      <c r="K220" s="3">
        <v>0</v>
      </c>
      <c r="L220" s="3">
        <v>0</v>
      </c>
      <c r="M220" s="3">
        <v>0</v>
      </c>
    </row>
    <row r="221" spans="1:13">
      <c r="A221" t="s">
        <v>16</v>
      </c>
      <c r="C221" s="3">
        <f>C220/C219</f>
        <v>0</v>
      </c>
      <c r="D221" s="3">
        <f>D220/D219</f>
        <v>0</v>
      </c>
      <c r="E221" s="3">
        <f>E220/E219</f>
        <v>0</v>
      </c>
      <c r="G221" s="3">
        <f>G220/G219</f>
        <v>0</v>
      </c>
      <c r="H221" s="3">
        <f>H220/H219</f>
        <v>0</v>
      </c>
      <c r="I221" s="3">
        <f>I220/I219</f>
        <v>0</v>
      </c>
      <c r="K221" s="3">
        <f>K220/K219</f>
        <v>0</v>
      </c>
      <c r="L221" s="3">
        <f>L220/L219</f>
        <v>0</v>
      </c>
      <c r="M221" s="3">
        <f>M220/M219</f>
        <v>0</v>
      </c>
    </row>
    <row r="222" spans="1:13">
      <c r="A222" t="s">
        <v>17</v>
      </c>
      <c r="C222" s="3">
        <v>0</v>
      </c>
      <c r="D222" s="3">
        <v>0</v>
      </c>
      <c r="E222" s="3">
        <v>0</v>
      </c>
      <c r="G222" s="3">
        <v>0</v>
      </c>
      <c r="H222" s="3">
        <v>0</v>
      </c>
      <c r="I222" s="3">
        <v>0</v>
      </c>
      <c r="K222" s="3">
        <v>0</v>
      </c>
      <c r="L222" s="3">
        <v>0</v>
      </c>
      <c r="M222" s="3">
        <v>0</v>
      </c>
    </row>
    <row r="223" spans="1:13">
      <c r="A223" t="s">
        <v>18</v>
      </c>
      <c r="C223" s="3">
        <v>0</v>
      </c>
      <c r="D223" s="3">
        <v>0</v>
      </c>
      <c r="E223" s="3">
        <v>0</v>
      </c>
      <c r="G223" s="3">
        <v>0</v>
      </c>
      <c r="H223" s="3">
        <v>0</v>
      </c>
      <c r="I223" s="3">
        <v>0</v>
      </c>
      <c r="K223" s="3">
        <v>0</v>
      </c>
      <c r="L223" s="3">
        <v>0</v>
      </c>
      <c r="M223" s="3">
        <v>0</v>
      </c>
    </row>
    <row r="224" spans="1:13">
      <c r="A224" t="s">
        <v>19</v>
      </c>
      <c r="C224" s="3">
        <f>C220*C223*C222-C222</f>
        <v>0</v>
      </c>
      <c r="D224" s="3">
        <f>D220*D223*D222-D222</f>
        <v>0</v>
      </c>
      <c r="E224" s="3">
        <f>E220*E223*E222-E222</f>
        <v>0</v>
      </c>
      <c r="G224" s="3">
        <f>G220*G223*G222-G222</f>
        <v>0</v>
      </c>
      <c r="H224" s="3">
        <f>H220*H223*H222-H222</f>
        <v>0</v>
      </c>
      <c r="I224" s="3">
        <f>I220*I223*I222-I222</f>
        <v>0</v>
      </c>
      <c r="K224" s="3">
        <f>K220*K223*K222-K222</f>
        <v>0</v>
      </c>
      <c r="L224" s="3">
        <f>L220*L223*L222-L222</f>
        <v>0</v>
      </c>
      <c r="M224" s="3">
        <f>M220*M223*M222-M222</f>
        <v>0</v>
      </c>
    </row>
    <row r="226" spans="1:13">
      <c r="A226" s="1" t="s">
        <v>42</v>
      </c>
      <c r="C226" s="1" t="s">
        <v>1</v>
      </c>
      <c r="E226" s="1">
        <f>0+C233+D233+E233 + E217</f>
        <v>-3.6</v>
      </c>
      <c r="G226" s="1" t="s">
        <v>2</v>
      </c>
      <c r="I226" s="1">
        <f>0+G233+H233+I233 + I217</f>
        <v>1.44</v>
      </c>
      <c r="K226" s="1" t="s">
        <v>3</v>
      </c>
      <c r="M226" s="1">
        <f>0+K233+L233+M233 + M217</f>
        <v>3.63</v>
      </c>
    </row>
    <row r="227" spans="1:13">
      <c r="A227" t="s">
        <v>47</v>
      </c>
      <c r="C227" s="2" t="s">
        <v>5</v>
      </c>
      <c r="D227" s="2" t="s">
        <v>6</v>
      </c>
      <c r="E227" s="2" t="s">
        <v>7</v>
      </c>
      <c r="G227" s="2" t="s">
        <v>8</v>
      </c>
      <c r="H227" s="2" t="s">
        <v>9</v>
      </c>
      <c r="I227" s="2" t="s">
        <v>10</v>
      </c>
      <c r="K227" s="2" t="s">
        <v>11</v>
      </c>
      <c r="L227" s="2" t="s">
        <v>12</v>
      </c>
      <c r="M227" s="2" t="s">
        <v>13</v>
      </c>
    </row>
    <row r="228" spans="1:13">
      <c r="A228" t="s">
        <v>14</v>
      </c>
      <c r="C228" s="3">
        <v>1.5149999999999999</v>
      </c>
      <c r="D228" s="3">
        <v>5.05</v>
      </c>
      <c r="E228" s="3">
        <v>10.875999999999999</v>
      </c>
      <c r="G228" s="3">
        <v>1.577</v>
      </c>
      <c r="H228" s="3">
        <v>2.875</v>
      </c>
      <c r="I228" s="3">
        <v>50.052999999999997</v>
      </c>
      <c r="K228" s="3">
        <v>5.6680000000000001</v>
      </c>
      <c r="L228" s="3">
        <v>2.149</v>
      </c>
      <c r="M228" s="3">
        <v>4.2069999999999999</v>
      </c>
    </row>
    <row r="229" spans="1:13">
      <c r="A229" t="s">
        <v>15</v>
      </c>
      <c r="C229" s="3">
        <v>0</v>
      </c>
      <c r="D229" s="3">
        <v>0</v>
      </c>
      <c r="E229" s="3">
        <v>0</v>
      </c>
      <c r="G229" s="3">
        <v>0</v>
      </c>
      <c r="H229" s="3">
        <v>0</v>
      </c>
      <c r="I229" s="3">
        <v>0</v>
      </c>
      <c r="K229" s="3">
        <v>0</v>
      </c>
      <c r="L229" s="3">
        <v>0</v>
      </c>
      <c r="M229" s="3">
        <v>0</v>
      </c>
    </row>
    <row r="230" spans="1:13">
      <c r="A230" t="s">
        <v>16</v>
      </c>
      <c r="C230" s="3">
        <f>C229/C228</f>
        <v>0</v>
      </c>
      <c r="D230" s="3">
        <f>D229/D228</f>
        <v>0</v>
      </c>
      <c r="E230" s="3">
        <f>E229/E228</f>
        <v>0</v>
      </c>
      <c r="G230" s="3">
        <f>G229/G228</f>
        <v>0</v>
      </c>
      <c r="H230" s="3">
        <f>H229/H228</f>
        <v>0</v>
      </c>
      <c r="I230" s="3">
        <f>I229/I228</f>
        <v>0</v>
      </c>
      <c r="K230" s="3">
        <f>K229/K228</f>
        <v>0</v>
      </c>
      <c r="L230" s="3">
        <f>L229/L228</f>
        <v>0</v>
      </c>
      <c r="M230" s="3">
        <f>M229/M228</f>
        <v>0</v>
      </c>
    </row>
    <row r="231" spans="1:13">
      <c r="A231" t="s">
        <v>17</v>
      </c>
      <c r="C231" s="3">
        <v>0</v>
      </c>
      <c r="D231" s="3">
        <v>0</v>
      </c>
      <c r="E231" s="3">
        <v>0</v>
      </c>
      <c r="G231" s="3">
        <v>0</v>
      </c>
      <c r="H231" s="3">
        <v>0</v>
      </c>
      <c r="I231" s="3">
        <v>0</v>
      </c>
      <c r="K231" s="3">
        <v>0</v>
      </c>
      <c r="L231" s="3">
        <v>0</v>
      </c>
      <c r="M231" s="3">
        <v>0</v>
      </c>
    </row>
    <row r="232" spans="1:13">
      <c r="A232" t="s">
        <v>18</v>
      </c>
      <c r="C232" s="3">
        <v>0</v>
      </c>
      <c r="D232" s="3">
        <v>0</v>
      </c>
      <c r="E232" s="3">
        <v>0</v>
      </c>
      <c r="G232" s="3">
        <v>0</v>
      </c>
      <c r="H232" s="3">
        <v>0</v>
      </c>
      <c r="I232" s="3">
        <v>0</v>
      </c>
      <c r="K232" s="3">
        <v>0</v>
      </c>
      <c r="L232" s="3">
        <v>0</v>
      </c>
      <c r="M232" s="3">
        <v>0</v>
      </c>
    </row>
    <row r="233" spans="1:13">
      <c r="A233" t="s">
        <v>19</v>
      </c>
      <c r="C233" s="3">
        <f>C229*C232*C231-C231</f>
        <v>0</v>
      </c>
      <c r="D233" s="3">
        <f>D229*D232*D231-D231</f>
        <v>0</v>
      </c>
      <c r="E233" s="3">
        <f>E229*E232*E231-E231</f>
        <v>0</v>
      </c>
      <c r="G233" s="3">
        <f>G229*G232*G231-G231</f>
        <v>0</v>
      </c>
      <c r="H233" s="3">
        <f>H229*H232*H231-H231</f>
        <v>0</v>
      </c>
      <c r="I233" s="3">
        <f>I229*I232*I231-I231</f>
        <v>0</v>
      </c>
      <c r="K233" s="3">
        <f>K229*K232*K231-K231</f>
        <v>0</v>
      </c>
      <c r="L233" s="3">
        <f>L229*L232*L231-L231</f>
        <v>0</v>
      </c>
      <c r="M233" s="3">
        <f>M229*M232*M231-M231</f>
        <v>0</v>
      </c>
    </row>
    <row r="235" spans="1:13">
      <c r="A235" s="1" t="s">
        <v>42</v>
      </c>
      <c r="C235" s="1" t="s">
        <v>1</v>
      </c>
      <c r="E235" s="1">
        <f>0+C242+D242+E242 + E226</f>
        <v>-3.6</v>
      </c>
      <c r="G235" s="1" t="s">
        <v>2</v>
      </c>
      <c r="I235" s="1">
        <f>0+G242+H242+I242 + I226</f>
        <v>1.44</v>
      </c>
      <c r="K235" s="1" t="s">
        <v>3</v>
      </c>
      <c r="M235" s="1">
        <f>0+K242+L242+M242 + M226</f>
        <v>3.63</v>
      </c>
    </row>
    <row r="236" spans="1:13">
      <c r="A236" t="s">
        <v>48</v>
      </c>
      <c r="C236" s="2" t="s">
        <v>5</v>
      </c>
      <c r="D236" s="2" t="s">
        <v>6</v>
      </c>
      <c r="E236" s="2" t="s">
        <v>7</v>
      </c>
      <c r="G236" s="2" t="s">
        <v>8</v>
      </c>
      <c r="H236" s="2" t="s">
        <v>9</v>
      </c>
      <c r="I236" s="2" t="s">
        <v>10</v>
      </c>
      <c r="K236" s="2" t="s">
        <v>11</v>
      </c>
      <c r="L236" s="2" t="s">
        <v>12</v>
      </c>
      <c r="M236" s="2" t="s">
        <v>13</v>
      </c>
    </row>
    <row r="237" spans="1:13">
      <c r="A237" t="s">
        <v>14</v>
      </c>
      <c r="C237" s="3">
        <v>7.1139999999999999</v>
      </c>
      <c r="D237" s="3">
        <v>2.7669999999999999</v>
      </c>
      <c r="E237" s="3">
        <v>2.6080000000000001</v>
      </c>
      <c r="G237" s="3">
        <v>4.5609999999999999</v>
      </c>
      <c r="H237" s="3">
        <v>2.8889999999999998</v>
      </c>
      <c r="I237" s="3">
        <v>3.4870000000000001</v>
      </c>
      <c r="K237" s="3">
        <v>9.2070000000000007</v>
      </c>
      <c r="L237" s="3">
        <v>1.849</v>
      </c>
      <c r="M237" s="3">
        <v>3.4809999999999999</v>
      </c>
    </row>
    <row r="238" spans="1:13">
      <c r="A238" t="s">
        <v>15</v>
      </c>
      <c r="C238" s="3">
        <v>0</v>
      </c>
      <c r="D238" s="3">
        <v>0</v>
      </c>
      <c r="E238" s="3">
        <v>0</v>
      </c>
      <c r="G238" s="3">
        <v>0</v>
      </c>
      <c r="H238" s="3">
        <v>0</v>
      </c>
      <c r="I238" s="3">
        <v>0</v>
      </c>
      <c r="K238" s="3">
        <v>0</v>
      </c>
      <c r="L238" s="3">
        <v>0</v>
      </c>
      <c r="M238" s="3">
        <v>0</v>
      </c>
    </row>
    <row r="239" spans="1:13">
      <c r="A239" t="s">
        <v>16</v>
      </c>
      <c r="C239" s="3">
        <f>C238/C237</f>
        <v>0</v>
      </c>
      <c r="D239" s="3">
        <f>D238/D237</f>
        <v>0</v>
      </c>
      <c r="E239" s="3">
        <f>E238/E237</f>
        <v>0</v>
      </c>
      <c r="G239" s="3">
        <f>G238/G237</f>
        <v>0</v>
      </c>
      <c r="H239" s="3">
        <f>H238/H237</f>
        <v>0</v>
      </c>
      <c r="I239" s="3">
        <f>I238/I237</f>
        <v>0</v>
      </c>
      <c r="K239" s="3">
        <f>K238/K237</f>
        <v>0</v>
      </c>
      <c r="L239" s="3">
        <f>L238/L237</f>
        <v>0</v>
      </c>
      <c r="M239" s="3">
        <f>M238/M237</f>
        <v>0</v>
      </c>
    </row>
    <row r="240" spans="1:13">
      <c r="A240" t="s">
        <v>17</v>
      </c>
      <c r="C240" s="3">
        <v>0</v>
      </c>
      <c r="D240" s="3">
        <v>0</v>
      </c>
      <c r="E240" s="3">
        <v>0</v>
      </c>
      <c r="G240" s="3">
        <v>0</v>
      </c>
      <c r="H240" s="3">
        <v>0</v>
      </c>
      <c r="I240" s="3">
        <v>0</v>
      </c>
      <c r="K240" s="3">
        <v>0</v>
      </c>
      <c r="L240" s="3">
        <v>0</v>
      </c>
      <c r="M240" s="3">
        <v>0</v>
      </c>
    </row>
    <row r="241" spans="1:13">
      <c r="A241" t="s">
        <v>18</v>
      </c>
      <c r="C241" s="3">
        <v>0</v>
      </c>
      <c r="D241" s="3">
        <v>0</v>
      </c>
      <c r="E241" s="3">
        <v>0</v>
      </c>
      <c r="G241" s="3">
        <v>0</v>
      </c>
      <c r="H241" s="3">
        <v>0</v>
      </c>
      <c r="I241" s="3">
        <v>0</v>
      </c>
      <c r="K241" s="3">
        <v>0</v>
      </c>
      <c r="L241" s="3">
        <v>0</v>
      </c>
      <c r="M241" s="3">
        <v>0</v>
      </c>
    </row>
    <row r="242" spans="1:13">
      <c r="A242" t="s">
        <v>19</v>
      </c>
      <c r="C242" s="3">
        <f>C238*C241*C240-C240</f>
        <v>0</v>
      </c>
      <c r="D242" s="3">
        <f>D238*D241*D240-D240</f>
        <v>0</v>
      </c>
      <c r="E242" s="3">
        <f>E238*E241*E240-E240</f>
        <v>0</v>
      </c>
      <c r="G242" s="3">
        <f>G238*G241*G240-G240</f>
        <v>0</v>
      </c>
      <c r="H242" s="3">
        <f>H238*H241*H240-H240</f>
        <v>0</v>
      </c>
      <c r="I242" s="3">
        <f>I238*I241*I240-I240</f>
        <v>0</v>
      </c>
      <c r="K242" s="3">
        <f>K238*K241*K240-K240</f>
        <v>0</v>
      </c>
      <c r="L242" s="3">
        <f>L238*L241*L240-L240</f>
        <v>0</v>
      </c>
      <c r="M242" s="3">
        <f>M238*M241*M240-M240</f>
        <v>0</v>
      </c>
    </row>
    <row r="244" spans="1:13">
      <c r="A244" s="1" t="s">
        <v>42</v>
      </c>
      <c r="C244" s="1" t="s">
        <v>1</v>
      </c>
      <c r="E244" s="1">
        <f>0+C251+D251+E251 + E235</f>
        <v>-3.6</v>
      </c>
      <c r="G244" s="1" t="s">
        <v>2</v>
      </c>
      <c r="I244" s="1">
        <f>0+G251+H251+I251 + I235</f>
        <v>1.44</v>
      </c>
      <c r="K244" s="1" t="s">
        <v>3</v>
      </c>
      <c r="M244" s="1">
        <f>0+K251+L251+M251 + M235</f>
        <v>3.63</v>
      </c>
    </row>
    <row r="245" spans="1:13">
      <c r="A245" t="s">
        <v>49</v>
      </c>
      <c r="C245" s="2" t="s">
        <v>5</v>
      </c>
      <c r="D245" s="2" t="s">
        <v>6</v>
      </c>
      <c r="E245" s="2" t="s">
        <v>7</v>
      </c>
      <c r="G245" s="2" t="s">
        <v>8</v>
      </c>
      <c r="H245" s="2" t="s">
        <v>9</v>
      </c>
      <c r="I245" s="2" t="s">
        <v>10</v>
      </c>
      <c r="K245" s="2" t="s">
        <v>11</v>
      </c>
      <c r="L245" s="2" t="s">
        <v>12</v>
      </c>
      <c r="M245" s="2" t="s">
        <v>13</v>
      </c>
    </row>
    <row r="246" spans="1:13">
      <c r="A246" t="s">
        <v>14</v>
      </c>
      <c r="C246" s="3">
        <v>2.6720000000000002</v>
      </c>
      <c r="D246" s="3">
        <v>2.3679999999999999</v>
      </c>
      <c r="E246" s="3">
        <v>9.2360000000000007</v>
      </c>
      <c r="G246" s="3">
        <v>9.5839999999999996</v>
      </c>
      <c r="H246" s="3">
        <v>1.3879999999999999</v>
      </c>
      <c r="I246" s="3">
        <v>7.282</v>
      </c>
      <c r="K246" s="3">
        <v>2.363</v>
      </c>
      <c r="L246" s="3">
        <v>2.4239999999999999</v>
      </c>
      <c r="M246" s="3">
        <v>10.676</v>
      </c>
    </row>
    <row r="247" spans="1:13">
      <c r="A247" t="s">
        <v>15</v>
      </c>
      <c r="C247" s="3">
        <v>0</v>
      </c>
      <c r="D247" s="3">
        <v>0</v>
      </c>
      <c r="E247" s="3">
        <v>0</v>
      </c>
      <c r="G247" s="3">
        <v>0</v>
      </c>
      <c r="H247" s="3">
        <v>0</v>
      </c>
      <c r="I247" s="3">
        <v>0</v>
      </c>
      <c r="K247" s="3">
        <v>0</v>
      </c>
      <c r="L247" s="3">
        <v>0</v>
      </c>
      <c r="M247" s="3">
        <v>0</v>
      </c>
    </row>
    <row r="248" spans="1:13">
      <c r="A248" t="s">
        <v>16</v>
      </c>
      <c r="C248" s="3">
        <f>C247/C246</f>
        <v>0</v>
      </c>
      <c r="D248" s="3">
        <f>D247/D246</f>
        <v>0</v>
      </c>
      <c r="E248" s="3">
        <f>E247/E246</f>
        <v>0</v>
      </c>
      <c r="G248" s="3">
        <f>G247/G246</f>
        <v>0</v>
      </c>
      <c r="H248" s="3">
        <f>H247/H246</f>
        <v>0</v>
      </c>
      <c r="I248" s="3">
        <f>I247/I246</f>
        <v>0</v>
      </c>
      <c r="K248" s="3">
        <f>K247/K246</f>
        <v>0</v>
      </c>
      <c r="L248" s="3">
        <f>L247/L246</f>
        <v>0</v>
      </c>
      <c r="M248" s="3">
        <f>M247/M246</f>
        <v>0</v>
      </c>
    </row>
    <row r="249" spans="1:13">
      <c r="A249" t="s">
        <v>17</v>
      </c>
      <c r="C249" s="3">
        <v>0</v>
      </c>
      <c r="D249" s="3">
        <v>0</v>
      </c>
      <c r="E249" s="3">
        <v>0</v>
      </c>
      <c r="G249" s="3">
        <v>0</v>
      </c>
      <c r="H249" s="3">
        <v>0</v>
      </c>
      <c r="I249" s="3">
        <v>0</v>
      </c>
      <c r="K249" s="3">
        <v>0</v>
      </c>
      <c r="L249" s="3">
        <v>0</v>
      </c>
      <c r="M249" s="3">
        <v>0</v>
      </c>
    </row>
    <row r="250" spans="1:13">
      <c r="A250" t="s">
        <v>18</v>
      </c>
      <c r="C250" s="3">
        <v>0</v>
      </c>
      <c r="D250" s="3">
        <v>0</v>
      </c>
      <c r="E250" s="3">
        <v>0</v>
      </c>
      <c r="G250" s="3">
        <v>0</v>
      </c>
      <c r="H250" s="3">
        <v>0</v>
      </c>
      <c r="I250" s="3">
        <v>0</v>
      </c>
      <c r="K250" s="3">
        <v>0</v>
      </c>
      <c r="L250" s="3">
        <v>0</v>
      </c>
      <c r="M250" s="3">
        <v>0</v>
      </c>
    </row>
    <row r="251" spans="1:13">
      <c r="A251" t="s">
        <v>19</v>
      </c>
      <c r="C251" s="3">
        <f>C247*C250*C249-C249</f>
        <v>0</v>
      </c>
      <c r="D251" s="3">
        <f>D247*D250*D249-D249</f>
        <v>0</v>
      </c>
      <c r="E251" s="3">
        <f>E247*E250*E249-E249</f>
        <v>0</v>
      </c>
      <c r="G251" s="3">
        <f>G247*G250*G249-G249</f>
        <v>0</v>
      </c>
      <c r="H251" s="3">
        <f>H247*H250*H249-H249</f>
        <v>0</v>
      </c>
      <c r="I251" s="3">
        <f>I247*I250*I249-I249</f>
        <v>0</v>
      </c>
      <c r="K251" s="3">
        <f>K247*K250*K249-K249</f>
        <v>0</v>
      </c>
      <c r="L251" s="3">
        <f>L247*L250*L249-L249</f>
        <v>0</v>
      </c>
      <c r="M251" s="3">
        <f>M247*M250*M249-M249</f>
        <v>0</v>
      </c>
    </row>
    <row r="253" spans="1:13">
      <c r="A253" s="1" t="s">
        <v>50</v>
      </c>
      <c r="C253" s="1" t="s">
        <v>1</v>
      </c>
      <c r="E253" s="1">
        <f>0+C260+D260+E260 + E244</f>
        <v>-3.6</v>
      </c>
      <c r="G253" s="1" t="s">
        <v>2</v>
      </c>
      <c r="I253" s="1">
        <f>0+G260+H260+I260 + I244</f>
        <v>1.44</v>
      </c>
      <c r="K253" s="1" t="s">
        <v>3</v>
      </c>
      <c r="M253" s="1">
        <f>0+K260+L260+M260 + M244</f>
        <v>3.63</v>
      </c>
    </row>
    <row r="254" spans="1:13">
      <c r="A254" t="s">
        <v>51</v>
      </c>
      <c r="C254" s="2" t="s">
        <v>5</v>
      </c>
      <c r="D254" s="2" t="s">
        <v>6</v>
      </c>
      <c r="E254" s="2" t="s">
        <v>7</v>
      </c>
      <c r="G254" s="2" t="s">
        <v>8</v>
      </c>
      <c r="H254" s="2" t="s">
        <v>9</v>
      </c>
      <c r="I254" s="2" t="s">
        <v>10</v>
      </c>
      <c r="K254" s="2" t="s">
        <v>11</v>
      </c>
      <c r="L254" s="2" t="s">
        <v>12</v>
      </c>
      <c r="M254" s="2" t="s">
        <v>13</v>
      </c>
    </row>
    <row r="255" spans="1:13">
      <c r="A255" t="s">
        <v>14</v>
      </c>
      <c r="C255" s="3">
        <v>3.0950000000000002</v>
      </c>
      <c r="D255" s="3">
        <v>6.1070000000000002</v>
      </c>
      <c r="E255" s="3">
        <v>2.78</v>
      </c>
      <c r="G255" s="3">
        <v>2.484</v>
      </c>
      <c r="H255" s="3">
        <v>3.3130000000000002</v>
      </c>
      <c r="I255" s="3">
        <v>5.681</v>
      </c>
      <c r="K255" s="3">
        <v>4.2930000000000001</v>
      </c>
      <c r="L255" s="3">
        <v>2.8319999999999999</v>
      </c>
      <c r="M255" s="3">
        <v>3.68</v>
      </c>
    </row>
    <row r="256" spans="1:13">
      <c r="A256" t="s">
        <v>15</v>
      </c>
      <c r="C256" s="3">
        <v>0</v>
      </c>
      <c r="D256" s="3">
        <v>0</v>
      </c>
      <c r="E256" s="3">
        <v>0</v>
      </c>
      <c r="G256" s="3">
        <v>0</v>
      </c>
      <c r="H256" s="3">
        <v>0</v>
      </c>
      <c r="I256" s="3">
        <v>0</v>
      </c>
      <c r="K256" s="3">
        <v>0</v>
      </c>
      <c r="L256" s="3">
        <v>0</v>
      </c>
      <c r="M256" s="3">
        <v>0</v>
      </c>
    </row>
    <row r="257" spans="1:13">
      <c r="A257" t="s">
        <v>16</v>
      </c>
      <c r="C257" s="3">
        <f>C256/C255</f>
        <v>0</v>
      </c>
      <c r="D257" s="3">
        <f>D256/D255</f>
        <v>0</v>
      </c>
      <c r="E257" s="3">
        <f>E256/E255</f>
        <v>0</v>
      </c>
      <c r="G257" s="3">
        <f>G256/G255</f>
        <v>0</v>
      </c>
      <c r="H257" s="3">
        <f>H256/H255</f>
        <v>0</v>
      </c>
      <c r="I257" s="3">
        <f>I256/I255</f>
        <v>0</v>
      </c>
      <c r="K257" s="3">
        <f>K256/K255</f>
        <v>0</v>
      </c>
      <c r="L257" s="3">
        <f>L256/L255</f>
        <v>0</v>
      </c>
      <c r="M257" s="3">
        <f>M256/M255</f>
        <v>0</v>
      </c>
    </row>
    <row r="258" spans="1:13">
      <c r="A258" t="s">
        <v>17</v>
      </c>
      <c r="C258" s="3">
        <v>0</v>
      </c>
      <c r="D258" s="3">
        <v>0</v>
      </c>
      <c r="E258" s="3">
        <v>0</v>
      </c>
      <c r="G258" s="3">
        <v>0</v>
      </c>
      <c r="H258" s="3">
        <v>0</v>
      </c>
      <c r="I258" s="3">
        <v>0</v>
      </c>
      <c r="K258" s="3">
        <v>0</v>
      </c>
      <c r="L258" s="3">
        <v>0</v>
      </c>
      <c r="M258" s="3">
        <v>0</v>
      </c>
    </row>
    <row r="259" spans="1:13">
      <c r="A259" t="s">
        <v>18</v>
      </c>
      <c r="C259" s="3">
        <v>0</v>
      </c>
      <c r="D259" s="3">
        <v>0</v>
      </c>
      <c r="E259" s="3">
        <v>0</v>
      </c>
      <c r="G259" s="3">
        <v>0</v>
      </c>
      <c r="H259" s="3">
        <v>0</v>
      </c>
      <c r="I259" s="3">
        <v>0</v>
      </c>
      <c r="K259" s="3">
        <v>0</v>
      </c>
      <c r="L259" s="3">
        <v>0</v>
      </c>
      <c r="M259" s="3">
        <v>0</v>
      </c>
    </row>
    <row r="260" spans="1:13">
      <c r="A260" t="s">
        <v>19</v>
      </c>
      <c r="C260" s="3">
        <f>C256*C259*C258-C258</f>
        <v>0</v>
      </c>
      <c r="D260" s="3">
        <f>D256*D259*D258-D258</f>
        <v>0</v>
      </c>
      <c r="E260" s="3">
        <f>E256*E259*E258-E258</f>
        <v>0</v>
      </c>
      <c r="G260" s="3">
        <f>G256*G259*G258-G258</f>
        <v>0</v>
      </c>
      <c r="H260" s="3">
        <f>H256*H259*H258-H258</f>
        <v>0</v>
      </c>
      <c r="I260" s="3">
        <f>I256*I259*I258-I258</f>
        <v>0</v>
      </c>
      <c r="K260" s="3">
        <f>K256*K259*K258-K258</f>
        <v>0</v>
      </c>
      <c r="L260" s="3">
        <f>L256*L259*L258-L258</f>
        <v>0</v>
      </c>
      <c r="M260" s="3">
        <f>M256*M259*M258-M258</f>
        <v>0</v>
      </c>
    </row>
    <row r="262" spans="1:13">
      <c r="A262" s="1" t="s">
        <v>50</v>
      </c>
      <c r="C262" s="1" t="s">
        <v>1</v>
      </c>
      <c r="E262" s="1">
        <f>0+C269+D269+E269 + E253</f>
        <v>-3.6</v>
      </c>
      <c r="G262" s="1" t="s">
        <v>2</v>
      </c>
      <c r="I262" s="1">
        <f>0+G269+H269+I269 + I253</f>
        <v>1.44</v>
      </c>
      <c r="K262" s="1" t="s">
        <v>3</v>
      </c>
      <c r="M262" s="1">
        <f>0+K269+L269+M269 + M253</f>
        <v>3.63</v>
      </c>
    </row>
    <row r="263" spans="1:13">
      <c r="A263" t="s">
        <v>52</v>
      </c>
      <c r="C263" s="2" t="s">
        <v>5</v>
      </c>
      <c r="D263" s="2" t="s">
        <v>6</v>
      </c>
      <c r="E263" s="2" t="s">
        <v>7</v>
      </c>
      <c r="G263" s="2" t="s">
        <v>8</v>
      </c>
      <c r="H263" s="2" t="s">
        <v>9</v>
      </c>
      <c r="I263" s="2" t="s">
        <v>10</v>
      </c>
      <c r="K263" s="2" t="s">
        <v>11</v>
      </c>
      <c r="L263" s="2" t="s">
        <v>12</v>
      </c>
      <c r="M263" s="2" t="s">
        <v>13</v>
      </c>
    </row>
    <row r="264" spans="1:13">
      <c r="A264" t="s">
        <v>14</v>
      </c>
      <c r="C264" s="3">
        <v>1.4319999999999999</v>
      </c>
      <c r="D264" s="3">
        <v>7.7880000000000003</v>
      </c>
      <c r="E264" s="3">
        <v>7.5019999999999998</v>
      </c>
      <c r="G264" s="3">
        <v>2.3690000000000002</v>
      </c>
      <c r="H264" s="3">
        <v>3.9670000000000001</v>
      </c>
      <c r="I264" s="3">
        <v>5.2140000000000004</v>
      </c>
      <c r="K264" s="3">
        <v>1.7929999999999999</v>
      </c>
      <c r="L264" s="3">
        <v>2.9929999999999999</v>
      </c>
      <c r="M264" s="3">
        <v>11.701000000000001</v>
      </c>
    </row>
    <row r="265" spans="1:13">
      <c r="A265" t="s">
        <v>15</v>
      </c>
      <c r="C265" s="3">
        <v>0</v>
      </c>
      <c r="D265" s="3">
        <v>0</v>
      </c>
      <c r="E265" s="3">
        <v>0</v>
      </c>
      <c r="G265" s="3">
        <v>0</v>
      </c>
      <c r="H265" s="3">
        <v>0</v>
      </c>
      <c r="I265" s="3">
        <v>0</v>
      </c>
      <c r="K265" s="3">
        <v>0</v>
      </c>
      <c r="L265" s="3">
        <v>0</v>
      </c>
      <c r="M265" s="3">
        <v>0</v>
      </c>
    </row>
    <row r="266" spans="1:13">
      <c r="A266" t="s">
        <v>16</v>
      </c>
      <c r="C266" s="3">
        <f>C265/C264</f>
        <v>0</v>
      </c>
      <c r="D266" s="3">
        <f>D265/D264</f>
        <v>0</v>
      </c>
      <c r="E266" s="3">
        <f>E265/E264</f>
        <v>0</v>
      </c>
      <c r="G266" s="3">
        <f>G265/G264</f>
        <v>0</v>
      </c>
      <c r="H266" s="3">
        <f>H265/H264</f>
        <v>0</v>
      </c>
      <c r="I266" s="3">
        <f>I265/I264</f>
        <v>0</v>
      </c>
      <c r="K266" s="3">
        <f>K265/K264</f>
        <v>0</v>
      </c>
      <c r="L266" s="3">
        <f>L265/L264</f>
        <v>0</v>
      </c>
      <c r="M266" s="3">
        <f>M265/M264</f>
        <v>0</v>
      </c>
    </row>
    <row r="267" spans="1:13">
      <c r="A267" t="s">
        <v>17</v>
      </c>
      <c r="C267" s="3">
        <v>0</v>
      </c>
      <c r="D267" s="3">
        <v>0</v>
      </c>
      <c r="E267" s="3">
        <v>0</v>
      </c>
      <c r="G267" s="3">
        <v>0</v>
      </c>
      <c r="H267" s="3">
        <v>0</v>
      </c>
      <c r="I267" s="3">
        <v>0</v>
      </c>
      <c r="K267" s="3">
        <v>0</v>
      </c>
      <c r="L267" s="3">
        <v>0</v>
      </c>
      <c r="M267" s="3">
        <v>0</v>
      </c>
    </row>
    <row r="268" spans="1:13">
      <c r="A268" t="s">
        <v>18</v>
      </c>
      <c r="C268" s="3">
        <v>0</v>
      </c>
      <c r="D268" s="3">
        <v>0</v>
      </c>
      <c r="E268" s="3">
        <v>0</v>
      </c>
      <c r="G268" s="3">
        <v>0</v>
      </c>
      <c r="H268" s="3">
        <v>0</v>
      </c>
      <c r="I268" s="3">
        <v>0</v>
      </c>
      <c r="K268" s="3">
        <v>0</v>
      </c>
      <c r="L268" s="3">
        <v>0</v>
      </c>
      <c r="M268" s="3">
        <v>0</v>
      </c>
    </row>
    <row r="269" spans="1:13">
      <c r="A269" t="s">
        <v>19</v>
      </c>
      <c r="C269" s="3">
        <f>C265*C268*C267-C267</f>
        <v>0</v>
      </c>
      <c r="D269" s="3">
        <f>D265*D268*D267-D267</f>
        <v>0</v>
      </c>
      <c r="E269" s="3">
        <f>E265*E268*E267-E267</f>
        <v>0</v>
      </c>
      <c r="G269" s="3">
        <f>G265*G268*G267-G267</f>
        <v>0</v>
      </c>
      <c r="H269" s="3">
        <f>H265*H268*H267-H267</f>
        <v>0</v>
      </c>
      <c r="I269" s="3">
        <f>I265*I268*I267-I267</f>
        <v>0</v>
      </c>
      <c r="K269" s="3">
        <f>K265*K268*K267-K267</f>
        <v>0</v>
      </c>
      <c r="L269" s="3">
        <f>L265*L268*L267-L267</f>
        <v>0</v>
      </c>
      <c r="M269" s="3">
        <f>M265*M268*M267-M267</f>
        <v>0</v>
      </c>
    </row>
    <row r="271" spans="1:13">
      <c r="A271" s="1" t="s">
        <v>50</v>
      </c>
      <c r="C271" s="1" t="s">
        <v>1</v>
      </c>
      <c r="E271" s="1">
        <f>0+C278+D278+E278 + E262</f>
        <v>-3.6</v>
      </c>
      <c r="G271" s="1" t="s">
        <v>2</v>
      </c>
      <c r="I271" s="1">
        <f>0+G278+H278+I278 + I262</f>
        <v>1.44</v>
      </c>
      <c r="K271" s="1" t="s">
        <v>3</v>
      </c>
      <c r="M271" s="1">
        <f>0+K278+L278+M278 + M262</f>
        <v>3.63</v>
      </c>
    </row>
    <row r="272" spans="1:13">
      <c r="A272" t="s">
        <v>53</v>
      </c>
      <c r="C272" s="2" t="s">
        <v>5</v>
      </c>
      <c r="D272" s="2" t="s">
        <v>6</v>
      </c>
      <c r="E272" s="2" t="s">
        <v>7</v>
      </c>
      <c r="G272" s="2" t="s">
        <v>8</v>
      </c>
      <c r="H272" s="2" t="s">
        <v>9</v>
      </c>
      <c r="I272" s="2" t="s">
        <v>10</v>
      </c>
      <c r="K272" s="2" t="s">
        <v>11</v>
      </c>
      <c r="L272" s="2" t="s">
        <v>12</v>
      </c>
      <c r="M272" s="2" t="s">
        <v>13</v>
      </c>
    </row>
    <row r="273" spans="1:13">
      <c r="A273" t="s">
        <v>14</v>
      </c>
      <c r="C273" s="3">
        <v>2.673</v>
      </c>
      <c r="D273" s="3">
        <v>6.8520000000000003</v>
      </c>
      <c r="E273" s="3">
        <v>3.1949999999999998</v>
      </c>
      <c r="G273" s="3">
        <v>4.4139999999999997</v>
      </c>
      <c r="H273" s="3">
        <v>7.4480000000000004</v>
      </c>
      <c r="I273" s="3">
        <v>1.8169999999999999</v>
      </c>
      <c r="K273" s="3">
        <v>3.6179999999999999</v>
      </c>
      <c r="L273" s="3">
        <v>5.54</v>
      </c>
      <c r="M273" s="3">
        <v>2.4769999999999999</v>
      </c>
    </row>
    <row r="274" spans="1:13">
      <c r="A274" t="s">
        <v>15</v>
      </c>
      <c r="C274" s="3">
        <v>0</v>
      </c>
      <c r="D274" s="3">
        <v>0</v>
      </c>
      <c r="E274" s="3">
        <v>0</v>
      </c>
      <c r="G274" s="3">
        <v>0</v>
      </c>
      <c r="H274" s="3">
        <v>0</v>
      </c>
      <c r="I274" s="3">
        <v>0</v>
      </c>
      <c r="K274" s="3">
        <v>0</v>
      </c>
      <c r="L274" s="3">
        <v>0</v>
      </c>
      <c r="M274" s="3">
        <v>0</v>
      </c>
    </row>
    <row r="275" spans="1:13">
      <c r="A275" t="s">
        <v>16</v>
      </c>
      <c r="C275" s="3">
        <f>C274/C273</f>
        <v>0</v>
      </c>
      <c r="D275" s="3">
        <f>D274/D273</f>
        <v>0</v>
      </c>
      <c r="E275" s="3">
        <f>E274/E273</f>
        <v>0</v>
      </c>
      <c r="G275" s="3">
        <f>G274/G273</f>
        <v>0</v>
      </c>
      <c r="H275" s="3">
        <f>H274/H273</f>
        <v>0</v>
      </c>
      <c r="I275" s="3">
        <f>I274/I273</f>
        <v>0</v>
      </c>
      <c r="K275" s="3">
        <f>K274/K273</f>
        <v>0</v>
      </c>
      <c r="L275" s="3">
        <f>L274/L273</f>
        <v>0</v>
      </c>
      <c r="M275" s="3">
        <f>M274/M273</f>
        <v>0</v>
      </c>
    </row>
    <row r="276" spans="1:13">
      <c r="A276" t="s">
        <v>17</v>
      </c>
      <c r="C276" s="3">
        <v>0</v>
      </c>
      <c r="D276" s="3">
        <v>0</v>
      </c>
      <c r="E276" s="3">
        <v>0</v>
      </c>
      <c r="G276" s="3">
        <v>0</v>
      </c>
      <c r="H276" s="3">
        <v>0</v>
      </c>
      <c r="I276" s="3">
        <v>0</v>
      </c>
      <c r="K276" s="3">
        <v>0</v>
      </c>
      <c r="L276" s="3">
        <v>0</v>
      </c>
      <c r="M276" s="3">
        <v>0</v>
      </c>
    </row>
    <row r="277" spans="1:13">
      <c r="A277" t="s">
        <v>18</v>
      </c>
      <c r="C277" s="3">
        <v>0</v>
      </c>
      <c r="D277" s="3">
        <v>0</v>
      </c>
      <c r="E277" s="3">
        <v>0</v>
      </c>
      <c r="G277" s="3">
        <v>0</v>
      </c>
      <c r="H277" s="3">
        <v>0</v>
      </c>
      <c r="I277" s="3">
        <v>0</v>
      </c>
      <c r="K277" s="3">
        <v>0</v>
      </c>
      <c r="L277" s="3">
        <v>0</v>
      </c>
      <c r="M277" s="3">
        <v>0</v>
      </c>
    </row>
    <row r="278" spans="1:13">
      <c r="A278" t="s">
        <v>19</v>
      </c>
      <c r="C278" s="3">
        <f>C274*C277*C276-C276</f>
        <v>0</v>
      </c>
      <c r="D278" s="3">
        <f>D274*D277*D276-D276</f>
        <v>0</v>
      </c>
      <c r="E278" s="3">
        <f>E274*E277*E276-E276</f>
        <v>0</v>
      </c>
      <c r="G278" s="3">
        <f>G274*G277*G276-G276</f>
        <v>0</v>
      </c>
      <c r="H278" s="3">
        <f>H274*H277*H276-H276</f>
        <v>0</v>
      </c>
      <c r="I278" s="3">
        <f>I274*I277*I276-I276</f>
        <v>0</v>
      </c>
      <c r="K278" s="3">
        <f>K274*K277*K276-K276</f>
        <v>0</v>
      </c>
      <c r="L278" s="3">
        <f>L274*L277*L276-L276</f>
        <v>0</v>
      </c>
      <c r="M278" s="3">
        <f>M274*M277*M276-M276</f>
        <v>0</v>
      </c>
    </row>
    <row r="280" spans="1:13">
      <c r="A280" s="1" t="s">
        <v>50</v>
      </c>
      <c r="C280" s="1" t="s">
        <v>1</v>
      </c>
      <c r="E280" s="1">
        <f>0+C287+D287+E287 + E271</f>
        <v>-3.6</v>
      </c>
      <c r="G280" s="1" t="s">
        <v>2</v>
      </c>
      <c r="I280" s="1">
        <f>0+G287+H287+I287 + I271</f>
        <v>1.44</v>
      </c>
      <c r="K280" s="1" t="s">
        <v>3</v>
      </c>
      <c r="M280" s="1">
        <f>0+K287+L287+M287 + M271</f>
        <v>3.63</v>
      </c>
    </row>
    <row r="281" spans="1:13">
      <c r="A281" t="s">
        <v>54</v>
      </c>
      <c r="C281" s="2" t="s">
        <v>5</v>
      </c>
      <c r="D281" s="2" t="s">
        <v>6</v>
      </c>
      <c r="E281" s="2" t="s">
        <v>7</v>
      </c>
      <c r="G281" s="2" t="s">
        <v>8</v>
      </c>
      <c r="H281" s="2" t="s">
        <v>9</v>
      </c>
      <c r="I281" s="2" t="s">
        <v>10</v>
      </c>
      <c r="K281" s="2" t="s">
        <v>11</v>
      </c>
      <c r="L281" s="2" t="s">
        <v>12</v>
      </c>
      <c r="M281" s="2" t="s">
        <v>13</v>
      </c>
    </row>
    <row r="282" spans="1:13">
      <c r="A282" t="s">
        <v>14</v>
      </c>
      <c r="C282" s="3">
        <v>1.756</v>
      </c>
      <c r="D282" s="3">
        <v>7.7679999999999998</v>
      </c>
      <c r="E282" s="3">
        <v>5.306</v>
      </c>
      <c r="G282" s="3">
        <v>2.1320000000000001</v>
      </c>
      <c r="H282" s="3">
        <v>2.9660000000000002</v>
      </c>
      <c r="I282" s="3">
        <v>11.65</v>
      </c>
      <c r="K282" s="3">
        <v>2.476</v>
      </c>
      <c r="L282" s="3">
        <v>6.5220000000000002</v>
      </c>
      <c r="M282" s="3">
        <v>3.2149999999999999</v>
      </c>
    </row>
    <row r="283" spans="1:13">
      <c r="A283" t="s">
        <v>15</v>
      </c>
      <c r="C283" s="3">
        <v>0</v>
      </c>
      <c r="D283" s="3">
        <v>0</v>
      </c>
      <c r="E283" s="3">
        <v>0</v>
      </c>
      <c r="G283" s="3">
        <v>0</v>
      </c>
      <c r="H283" s="3">
        <v>0</v>
      </c>
      <c r="I283" s="3">
        <v>0</v>
      </c>
      <c r="K283" s="3">
        <v>0</v>
      </c>
      <c r="L283" s="3">
        <v>0</v>
      </c>
      <c r="M283" s="3">
        <v>0</v>
      </c>
    </row>
    <row r="284" spans="1:13">
      <c r="A284" t="s">
        <v>16</v>
      </c>
      <c r="C284" s="3">
        <f>C283/C282</f>
        <v>0</v>
      </c>
      <c r="D284" s="3">
        <f>D283/D282</f>
        <v>0</v>
      </c>
      <c r="E284" s="3">
        <f>E283/E282</f>
        <v>0</v>
      </c>
      <c r="G284" s="3">
        <f>G283/G282</f>
        <v>0</v>
      </c>
      <c r="H284" s="3">
        <f>H283/H282</f>
        <v>0</v>
      </c>
      <c r="I284" s="3">
        <f>I283/I282</f>
        <v>0</v>
      </c>
      <c r="K284" s="3">
        <f>K283/K282</f>
        <v>0</v>
      </c>
      <c r="L284" s="3">
        <f>L283/L282</f>
        <v>0</v>
      </c>
      <c r="M284" s="3">
        <f>M283/M282</f>
        <v>0</v>
      </c>
    </row>
    <row r="285" spans="1:13">
      <c r="A285" t="s">
        <v>17</v>
      </c>
      <c r="C285" s="3">
        <v>0</v>
      </c>
      <c r="D285" s="3">
        <v>0</v>
      </c>
      <c r="E285" s="3">
        <v>0</v>
      </c>
      <c r="G285" s="3">
        <v>0</v>
      </c>
      <c r="H285" s="3">
        <v>0</v>
      </c>
      <c r="I285" s="3">
        <v>0</v>
      </c>
      <c r="K285" s="3">
        <v>0</v>
      </c>
      <c r="L285" s="3">
        <v>0</v>
      </c>
      <c r="M285" s="3">
        <v>0</v>
      </c>
    </row>
    <row r="286" spans="1:13">
      <c r="A286" t="s">
        <v>18</v>
      </c>
      <c r="C286" s="3">
        <v>0</v>
      </c>
      <c r="D286" s="3">
        <v>0</v>
      </c>
      <c r="E286" s="3">
        <v>0</v>
      </c>
      <c r="G286" s="3">
        <v>0</v>
      </c>
      <c r="H286" s="3">
        <v>0</v>
      </c>
      <c r="I286" s="3">
        <v>0</v>
      </c>
      <c r="K286" s="3">
        <v>0</v>
      </c>
      <c r="L286" s="3">
        <v>0</v>
      </c>
      <c r="M286" s="3">
        <v>0</v>
      </c>
    </row>
    <row r="287" spans="1:13">
      <c r="A287" t="s">
        <v>19</v>
      </c>
      <c r="C287" s="3">
        <f>C283*C286*C285-C285</f>
        <v>0</v>
      </c>
      <c r="D287" s="3">
        <f>D283*D286*D285-D285</f>
        <v>0</v>
      </c>
      <c r="E287" s="3">
        <f>E283*E286*E285-E285</f>
        <v>0</v>
      </c>
      <c r="G287" s="3">
        <f>G283*G286*G285-G285</f>
        <v>0</v>
      </c>
      <c r="H287" s="3">
        <f>H283*H286*H285-H285</f>
        <v>0</v>
      </c>
      <c r="I287" s="3">
        <f>I283*I286*I285-I285</f>
        <v>0</v>
      </c>
      <c r="K287" s="3">
        <f>K283*K286*K285-K285</f>
        <v>0</v>
      </c>
      <c r="L287" s="3">
        <f>L283*L286*L285-L285</f>
        <v>0</v>
      </c>
      <c r="M287" s="3">
        <f>M283*M286*M285-M285</f>
        <v>0</v>
      </c>
    </row>
    <row r="289" spans="1:13">
      <c r="A289" s="1" t="s">
        <v>50</v>
      </c>
      <c r="C289" s="1" t="s">
        <v>1</v>
      </c>
      <c r="E289" s="1">
        <f>0+C296+D296+E296 + E280</f>
        <v>-3.6</v>
      </c>
      <c r="G289" s="1" t="s">
        <v>2</v>
      </c>
      <c r="I289" s="1">
        <f>0+G296+H296+I296 + I280</f>
        <v>1.44</v>
      </c>
      <c r="K289" s="1" t="s">
        <v>3</v>
      </c>
      <c r="M289" s="1">
        <f>0+K296+L296+M296 + M280</f>
        <v>3.63</v>
      </c>
    </row>
    <row r="290" spans="1:13">
      <c r="A290" t="s">
        <v>55</v>
      </c>
      <c r="C290" s="2" t="s">
        <v>5</v>
      </c>
      <c r="D290" s="2" t="s">
        <v>6</v>
      </c>
      <c r="E290" s="2" t="s">
        <v>7</v>
      </c>
      <c r="G290" s="2" t="s">
        <v>8</v>
      </c>
      <c r="H290" s="2" t="s">
        <v>9</v>
      </c>
      <c r="I290" s="2" t="s">
        <v>10</v>
      </c>
      <c r="K290" s="2" t="s">
        <v>11</v>
      </c>
      <c r="L290" s="2" t="s">
        <v>12</v>
      </c>
      <c r="M290" s="2" t="s">
        <v>13</v>
      </c>
    </row>
    <row r="291" spans="1:13">
      <c r="A291" t="s">
        <v>14</v>
      </c>
      <c r="C291" s="3">
        <v>2.3210000000000002</v>
      </c>
      <c r="D291" s="3">
        <v>5.1470000000000002</v>
      </c>
      <c r="E291" s="3">
        <v>4.2990000000000004</v>
      </c>
      <c r="G291" s="3">
        <v>3.5670000000000002</v>
      </c>
      <c r="H291" s="3">
        <v>2.754</v>
      </c>
      <c r="I291" s="3">
        <v>5.29</v>
      </c>
      <c r="K291" s="3">
        <v>1.9510000000000001</v>
      </c>
      <c r="L291" s="3">
        <v>5.07</v>
      </c>
      <c r="M291" s="3">
        <v>4.8689999999999998</v>
      </c>
    </row>
    <row r="292" spans="1:13">
      <c r="A292" t="s">
        <v>15</v>
      </c>
      <c r="C292" s="3">
        <v>0</v>
      </c>
      <c r="D292" s="3">
        <v>0</v>
      </c>
      <c r="E292" s="3">
        <v>0</v>
      </c>
      <c r="G292" s="3">
        <v>0</v>
      </c>
      <c r="H292" s="3">
        <v>0</v>
      </c>
      <c r="I292" s="3">
        <v>0</v>
      </c>
      <c r="K292" s="3">
        <v>0</v>
      </c>
      <c r="L292" s="3">
        <v>0</v>
      </c>
      <c r="M292" s="3">
        <v>0</v>
      </c>
    </row>
    <row r="293" spans="1:13">
      <c r="A293" t="s">
        <v>16</v>
      </c>
      <c r="C293" s="3">
        <f>C292/C291</f>
        <v>0</v>
      </c>
      <c r="D293" s="3">
        <f>D292/D291</f>
        <v>0</v>
      </c>
      <c r="E293" s="3">
        <f>E292/E291</f>
        <v>0</v>
      </c>
      <c r="G293" s="3">
        <f>G292/G291</f>
        <v>0</v>
      </c>
      <c r="H293" s="3">
        <f>H292/H291</f>
        <v>0</v>
      </c>
      <c r="I293" s="3">
        <f>I292/I291</f>
        <v>0</v>
      </c>
      <c r="K293" s="3">
        <f>K292/K291</f>
        <v>0</v>
      </c>
      <c r="L293" s="3">
        <f>L292/L291</f>
        <v>0</v>
      </c>
      <c r="M293" s="3">
        <f>M292/M291</f>
        <v>0</v>
      </c>
    </row>
    <row r="294" spans="1:13">
      <c r="A294" t="s">
        <v>17</v>
      </c>
      <c r="C294" s="3">
        <v>0</v>
      </c>
      <c r="D294" s="3">
        <v>0</v>
      </c>
      <c r="E294" s="3">
        <v>0</v>
      </c>
      <c r="G294" s="3">
        <v>0</v>
      </c>
      <c r="H294" s="3">
        <v>0</v>
      </c>
      <c r="I294" s="3">
        <v>0</v>
      </c>
      <c r="K294" s="3">
        <v>0</v>
      </c>
      <c r="L294" s="3">
        <v>0</v>
      </c>
      <c r="M294" s="3">
        <v>0</v>
      </c>
    </row>
    <row r="295" spans="1:13">
      <c r="A295" t="s">
        <v>18</v>
      </c>
      <c r="C295" s="3">
        <v>0</v>
      </c>
      <c r="D295" s="3">
        <v>0</v>
      </c>
      <c r="E295" s="3">
        <v>0</v>
      </c>
      <c r="G295" s="3">
        <v>0</v>
      </c>
      <c r="H295" s="3">
        <v>0</v>
      </c>
      <c r="I295" s="3">
        <v>0</v>
      </c>
      <c r="K295" s="3">
        <v>0</v>
      </c>
      <c r="L295" s="3">
        <v>0</v>
      </c>
      <c r="M295" s="3">
        <v>0</v>
      </c>
    </row>
    <row r="296" spans="1:13">
      <c r="A296" t="s">
        <v>19</v>
      </c>
      <c r="C296" s="3">
        <f>C292*C295*C294-C294</f>
        <v>0</v>
      </c>
      <c r="D296" s="3">
        <f>D292*D295*D294-D294</f>
        <v>0</v>
      </c>
      <c r="E296" s="3">
        <f>E292*E295*E294-E294</f>
        <v>0</v>
      </c>
      <c r="G296" s="3">
        <f>G292*G295*G294-G294</f>
        <v>0</v>
      </c>
      <c r="H296" s="3">
        <f>H292*H295*H294-H294</f>
        <v>0</v>
      </c>
      <c r="I296" s="3">
        <f>I292*I295*I294-I294</f>
        <v>0</v>
      </c>
      <c r="K296" s="3">
        <f>K292*K295*K294-K294</f>
        <v>0</v>
      </c>
      <c r="L296" s="3">
        <f>L292*L295*L294-L294</f>
        <v>0</v>
      </c>
      <c r="M296" s="3">
        <f>M292*M295*M294-M294</f>
        <v>0</v>
      </c>
    </row>
    <row r="298" spans="1:13">
      <c r="A298" s="1" t="s">
        <v>50</v>
      </c>
      <c r="C298" s="1" t="s">
        <v>1</v>
      </c>
      <c r="E298" s="1">
        <f>0+C305+D305+E305 + E289</f>
        <v>-3.6</v>
      </c>
      <c r="G298" s="1" t="s">
        <v>2</v>
      </c>
      <c r="I298" s="1">
        <f>0+G305+H305+I305 + I289</f>
        <v>1.44</v>
      </c>
      <c r="K298" s="1" t="s">
        <v>3</v>
      </c>
      <c r="M298" s="1">
        <f>0+K305+L305+M305 + M289</f>
        <v>3.63</v>
      </c>
    </row>
    <row r="299" spans="1:13">
      <c r="A299" t="s">
        <v>56</v>
      </c>
      <c r="C299" s="2" t="s">
        <v>5</v>
      </c>
      <c r="D299" s="2" t="s">
        <v>6</v>
      </c>
      <c r="E299" s="2" t="s">
        <v>7</v>
      </c>
      <c r="G299" s="2" t="s">
        <v>8</v>
      </c>
      <c r="H299" s="2" t="s">
        <v>9</v>
      </c>
      <c r="I299" s="2" t="s">
        <v>10</v>
      </c>
      <c r="K299" s="2" t="s">
        <v>11</v>
      </c>
      <c r="L299" s="2" t="s">
        <v>12</v>
      </c>
      <c r="M299" s="2" t="s">
        <v>13</v>
      </c>
    </row>
    <row r="300" spans="1:13">
      <c r="A300" t="s">
        <v>14</v>
      </c>
      <c r="C300" s="3">
        <v>1.421</v>
      </c>
      <c r="D300" s="3">
        <v>9.32</v>
      </c>
      <c r="E300" s="3">
        <v>7.4969999999999999</v>
      </c>
      <c r="G300" s="3">
        <v>1.7609999999999999</v>
      </c>
      <c r="H300" s="3">
        <v>4.0890000000000004</v>
      </c>
      <c r="I300" s="3">
        <v>9.2569999999999997</v>
      </c>
      <c r="K300" s="3">
        <v>1.67</v>
      </c>
      <c r="L300" s="3">
        <v>3.9660000000000002</v>
      </c>
      <c r="M300" s="3">
        <v>11.249000000000001</v>
      </c>
    </row>
    <row r="301" spans="1:13">
      <c r="A301" t="s">
        <v>15</v>
      </c>
      <c r="C301" s="3">
        <v>0</v>
      </c>
      <c r="D301" s="3">
        <v>0</v>
      </c>
      <c r="E301" s="3">
        <v>0</v>
      </c>
      <c r="G301" s="3">
        <v>0</v>
      </c>
      <c r="H301" s="3">
        <v>0</v>
      </c>
      <c r="I301" s="3">
        <v>0</v>
      </c>
      <c r="K301" s="3">
        <v>0</v>
      </c>
      <c r="L301" s="3">
        <v>0</v>
      </c>
      <c r="M301" s="3">
        <v>0</v>
      </c>
    </row>
    <row r="302" spans="1:13">
      <c r="A302" t="s">
        <v>16</v>
      </c>
      <c r="C302" s="3">
        <f>C301/C300</f>
        <v>0</v>
      </c>
      <c r="D302" s="3">
        <f>D301/D300</f>
        <v>0</v>
      </c>
      <c r="E302" s="3">
        <f>E301/E300</f>
        <v>0</v>
      </c>
      <c r="G302" s="3">
        <f>G301/G300</f>
        <v>0</v>
      </c>
      <c r="H302" s="3">
        <f>H301/H300</f>
        <v>0</v>
      </c>
      <c r="I302" s="3">
        <f>I301/I300</f>
        <v>0</v>
      </c>
      <c r="K302" s="3">
        <f>K301/K300</f>
        <v>0</v>
      </c>
      <c r="L302" s="3">
        <f>L301/L300</f>
        <v>0</v>
      </c>
      <c r="M302" s="3">
        <f>M301/M300</f>
        <v>0</v>
      </c>
    </row>
    <row r="303" spans="1:13">
      <c r="A303" t="s">
        <v>17</v>
      </c>
      <c r="C303" s="3">
        <v>0</v>
      </c>
      <c r="D303" s="3">
        <v>0</v>
      </c>
      <c r="E303" s="3">
        <v>0</v>
      </c>
      <c r="G303" s="3">
        <v>0</v>
      </c>
      <c r="H303" s="3">
        <v>0</v>
      </c>
      <c r="I303" s="3">
        <v>0</v>
      </c>
      <c r="K303" s="3">
        <v>0</v>
      </c>
      <c r="L303" s="3">
        <v>0</v>
      </c>
      <c r="M303" s="3">
        <v>0</v>
      </c>
    </row>
    <row r="304" spans="1:13">
      <c r="A304" t="s">
        <v>18</v>
      </c>
      <c r="C304" s="3">
        <v>0</v>
      </c>
      <c r="D304" s="3">
        <v>0</v>
      </c>
      <c r="E304" s="3">
        <v>0</v>
      </c>
      <c r="G304" s="3">
        <v>0</v>
      </c>
      <c r="H304" s="3">
        <v>0</v>
      </c>
      <c r="I304" s="3">
        <v>0</v>
      </c>
      <c r="K304" s="3">
        <v>0</v>
      </c>
      <c r="L304" s="3">
        <v>0</v>
      </c>
      <c r="M304" s="3">
        <v>0</v>
      </c>
    </row>
    <row r="305" spans="1:13">
      <c r="A305" t="s">
        <v>19</v>
      </c>
      <c r="C305" s="3">
        <f>C301*C304*C303-C303</f>
        <v>0</v>
      </c>
      <c r="D305" s="3">
        <f>D301*D304*D303-D303</f>
        <v>0</v>
      </c>
      <c r="E305" s="3">
        <f>E301*E304*E303-E303</f>
        <v>0</v>
      </c>
      <c r="G305" s="3">
        <f>G301*G304*G303-G303</f>
        <v>0</v>
      </c>
      <c r="H305" s="3">
        <f>H301*H304*H303-H303</f>
        <v>0</v>
      </c>
      <c r="I305" s="3">
        <f>I301*I304*I303-I303</f>
        <v>0</v>
      </c>
      <c r="K305" s="3">
        <f>K301*K304*K303-K303</f>
        <v>0</v>
      </c>
      <c r="L305" s="3">
        <f>L301*L304*L303-L303</f>
        <v>0</v>
      </c>
      <c r="M305" s="3">
        <f>M301*M304*M303-M303</f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06"/>
  <sheetViews>
    <sheetView tabSelected="1" topLeftCell="A211" workbookViewId="0">
      <selection activeCell="Q224" sqref="Q224"/>
    </sheetView>
  </sheetViews>
  <sheetFormatPr defaultRowHeight="14.4"/>
  <sheetData>
    <row r="1" spans="1:13">
      <c r="A1" s="1" t="s">
        <v>0</v>
      </c>
      <c r="C1" s="1" t="s">
        <v>1</v>
      </c>
      <c r="E1" s="1">
        <f>0+C8+D8+E8</f>
        <v>-1</v>
      </c>
      <c r="G1" s="1" t="s">
        <v>2</v>
      </c>
      <c r="I1" s="1">
        <f>0+G8+H8+I8</f>
        <v>2.48</v>
      </c>
      <c r="K1" s="1" t="s">
        <v>3</v>
      </c>
      <c r="M1" s="1">
        <f>0+K8+L8+M8</f>
        <v>2.0499999999999998</v>
      </c>
    </row>
    <row r="2" spans="1:13">
      <c r="A2" t="s">
        <v>4</v>
      </c>
      <c r="C2" s="2" t="s">
        <v>5</v>
      </c>
      <c r="D2" s="2" t="s">
        <v>6</v>
      </c>
      <c r="E2" s="2" t="s">
        <v>7</v>
      </c>
      <c r="G2" s="2" t="s">
        <v>8</v>
      </c>
      <c r="H2" s="2" t="s">
        <v>9</v>
      </c>
      <c r="I2" s="2" t="s">
        <v>10</v>
      </c>
      <c r="K2" s="2" t="s">
        <v>11</v>
      </c>
      <c r="L2" s="2" t="s">
        <v>12</v>
      </c>
      <c r="M2" s="2" t="s">
        <v>13</v>
      </c>
    </row>
    <row r="3" spans="1:13">
      <c r="A3" t="s">
        <v>14</v>
      </c>
      <c r="C3" s="3">
        <v>2.5139999999999998</v>
      </c>
      <c r="D3" s="3">
        <v>2.7530000000000001</v>
      </c>
      <c r="E3" s="3">
        <v>4.1829999999999998</v>
      </c>
      <c r="G3" s="3">
        <v>2.7210000000000001</v>
      </c>
      <c r="H3" s="3">
        <v>3.141</v>
      </c>
      <c r="I3" s="3">
        <v>3.1819999999999999</v>
      </c>
      <c r="K3" s="3">
        <v>2.1219999999999999</v>
      </c>
      <c r="L3" s="3">
        <v>6.5090000000000003</v>
      </c>
      <c r="M3" s="3">
        <v>2.665</v>
      </c>
    </row>
    <row r="4" spans="1:13">
      <c r="A4" t="s">
        <v>15</v>
      </c>
      <c r="C4" s="3">
        <v>3.11</v>
      </c>
      <c r="D4" s="3">
        <v>3.77</v>
      </c>
      <c r="E4" s="3">
        <v>2.2599999999999998</v>
      </c>
      <c r="G4" s="3">
        <v>3.48</v>
      </c>
      <c r="H4" s="3">
        <v>2.44</v>
      </c>
      <c r="I4" s="3">
        <v>2.86</v>
      </c>
      <c r="K4" s="3">
        <v>3.05</v>
      </c>
      <c r="L4" s="3">
        <v>2.92</v>
      </c>
      <c r="M4" s="3">
        <v>2.66</v>
      </c>
    </row>
    <row r="5" spans="1:13">
      <c r="A5" t="s">
        <v>16</v>
      </c>
      <c r="C5" s="3">
        <f>C4/C3</f>
        <v>1.2370723945902944</v>
      </c>
      <c r="D5" s="3">
        <f>D4/D3</f>
        <v>1.3694151834362513</v>
      </c>
      <c r="E5" s="3">
        <f>E4/E3</f>
        <v>0.54028209419077211</v>
      </c>
      <c r="G5" s="3">
        <f>G4/G3</f>
        <v>1.278941565600882</v>
      </c>
      <c r="H5" s="3">
        <f>H4/H3</f>
        <v>0.77682266794014643</v>
      </c>
      <c r="I5" s="3">
        <f>I4/I3</f>
        <v>0.89880578252671273</v>
      </c>
      <c r="K5" s="3">
        <f>K4/K3</f>
        <v>1.4373232799245994</v>
      </c>
      <c r="L5" s="3">
        <f>L4/L3</f>
        <v>0.44860961745275768</v>
      </c>
      <c r="M5" s="3">
        <f>M4/M3</f>
        <v>0.99812382739212013</v>
      </c>
    </row>
    <row r="6" spans="1:13">
      <c r="A6" t="s">
        <v>17</v>
      </c>
      <c r="C6" s="3">
        <v>0</v>
      </c>
      <c r="D6" s="3">
        <v>1</v>
      </c>
      <c r="E6" s="3">
        <v>0</v>
      </c>
      <c r="G6" s="3">
        <v>1</v>
      </c>
      <c r="H6" s="3">
        <v>0</v>
      </c>
      <c r="I6" s="3">
        <v>0</v>
      </c>
      <c r="K6" s="3">
        <v>1</v>
      </c>
      <c r="L6" s="3">
        <v>0</v>
      </c>
      <c r="M6" s="3">
        <v>0</v>
      </c>
    </row>
    <row r="7" spans="1:13">
      <c r="A7" t="s">
        <v>18</v>
      </c>
      <c r="C7" s="3">
        <v>1</v>
      </c>
      <c r="D7" s="3">
        <v>0</v>
      </c>
      <c r="E7" s="3">
        <v>0</v>
      </c>
      <c r="G7" s="3">
        <v>1</v>
      </c>
      <c r="H7" s="3">
        <v>0</v>
      </c>
      <c r="I7" s="3">
        <v>0</v>
      </c>
      <c r="K7" s="3">
        <v>1</v>
      </c>
      <c r="L7" s="3">
        <v>0</v>
      </c>
      <c r="M7" s="3">
        <v>0</v>
      </c>
    </row>
    <row r="8" spans="1:13">
      <c r="A8" t="s">
        <v>19</v>
      </c>
      <c r="C8" s="3">
        <f>C4*C7*C6-C6</f>
        <v>0</v>
      </c>
      <c r="D8" s="3">
        <f>D4*D7*D6-D6</f>
        <v>-1</v>
      </c>
      <c r="E8" s="3">
        <f>E4*E7*E6-E6</f>
        <v>0</v>
      </c>
      <c r="G8" s="3">
        <f>G4*G7*G6-G6</f>
        <v>2.48</v>
      </c>
      <c r="H8" s="3">
        <f>H4*H7*H6-H6</f>
        <v>0</v>
      </c>
      <c r="I8" s="3">
        <f>I4*I7*I6-I6</f>
        <v>0</v>
      </c>
      <c r="K8" s="3">
        <f>K4*K7*K6-K6</f>
        <v>2.0499999999999998</v>
      </c>
      <c r="L8" s="3">
        <f>L4*L7*L6-L6</f>
        <v>0</v>
      </c>
      <c r="M8" s="3">
        <f>M4*M7*M6-M6</f>
        <v>0</v>
      </c>
    </row>
    <row r="10" spans="1:13">
      <c r="A10" s="1" t="s">
        <v>0</v>
      </c>
      <c r="C10" s="1" t="s">
        <v>1</v>
      </c>
      <c r="E10" s="1">
        <f>0+C17+D17+E17 + E1</f>
        <v>-2</v>
      </c>
      <c r="G10" s="1" t="s">
        <v>2</v>
      </c>
      <c r="I10" s="1">
        <f>0+G17+H17+I17 + I1</f>
        <v>3.63</v>
      </c>
      <c r="K10" s="1" t="s">
        <v>3</v>
      </c>
      <c r="M10" s="1">
        <f>0+K17+L17+M17 + M1</f>
        <v>1.0499999999999998</v>
      </c>
    </row>
    <row r="11" spans="1:13">
      <c r="A11" t="s">
        <v>20</v>
      </c>
      <c r="C11" s="2" t="s">
        <v>5</v>
      </c>
      <c r="D11" s="2" t="s">
        <v>6</v>
      </c>
      <c r="E11" s="2" t="s">
        <v>7</v>
      </c>
      <c r="G11" s="2" t="s">
        <v>8</v>
      </c>
      <c r="H11" s="2" t="s">
        <v>9</v>
      </c>
      <c r="I11" s="2" t="s">
        <v>10</v>
      </c>
      <c r="K11" s="2" t="s">
        <v>11</v>
      </c>
      <c r="L11" s="2" t="s">
        <v>12</v>
      </c>
      <c r="M11" s="2" t="s">
        <v>13</v>
      </c>
    </row>
    <row r="12" spans="1:13">
      <c r="A12" t="s">
        <v>14</v>
      </c>
      <c r="C12" s="3">
        <v>4.0010000000000003</v>
      </c>
      <c r="D12" s="3">
        <v>7.282</v>
      </c>
      <c r="E12" s="3">
        <v>1.631</v>
      </c>
      <c r="G12" s="3">
        <v>3.6080000000000001</v>
      </c>
      <c r="H12" s="3">
        <v>1.8120000000000001</v>
      </c>
      <c r="I12" s="3">
        <v>5.8410000000000002</v>
      </c>
      <c r="K12" s="3">
        <v>4.1280000000000001</v>
      </c>
      <c r="L12" s="3">
        <v>17.867999999999999</v>
      </c>
      <c r="M12" s="3">
        <v>1.4239999999999999</v>
      </c>
    </row>
    <row r="13" spans="1:13">
      <c r="A13" t="s">
        <v>15</v>
      </c>
      <c r="C13" s="3">
        <v>2.27</v>
      </c>
      <c r="D13" s="3">
        <v>3.48</v>
      </c>
      <c r="E13" s="3">
        <v>3.31</v>
      </c>
      <c r="G13" s="3">
        <v>3.04</v>
      </c>
      <c r="H13" s="3">
        <v>2.15</v>
      </c>
      <c r="I13" s="3">
        <v>3.94</v>
      </c>
      <c r="K13" s="3">
        <v>2.58</v>
      </c>
      <c r="L13" s="3">
        <v>2.69</v>
      </c>
      <c r="M13" s="3">
        <v>3.49</v>
      </c>
    </row>
    <row r="14" spans="1:13">
      <c r="A14" t="s">
        <v>16</v>
      </c>
      <c r="C14" s="3">
        <f>C13/C12</f>
        <v>0.56735816045988496</v>
      </c>
      <c r="D14" s="3">
        <f>D13/D12</f>
        <v>0.47789068937105189</v>
      </c>
      <c r="E14" s="3">
        <f>E13/E12</f>
        <v>2.029429797670141</v>
      </c>
      <c r="G14" s="3">
        <f>G13/G12</f>
        <v>0.84257206208425717</v>
      </c>
      <c r="H14" s="3">
        <f>H13/H12</f>
        <v>1.1865342163355408</v>
      </c>
      <c r="I14" s="3">
        <f>I13/I12</f>
        <v>0.67454203047423378</v>
      </c>
      <c r="K14" s="3">
        <f>K13/K12</f>
        <v>0.625</v>
      </c>
      <c r="L14" s="3">
        <f>L13/L12</f>
        <v>0.15054846653234835</v>
      </c>
      <c r="M14" s="3">
        <f>M13/M12</f>
        <v>2.4508426966292136</v>
      </c>
    </row>
    <row r="15" spans="1:13">
      <c r="A15" t="s">
        <v>17</v>
      </c>
      <c r="C15" s="3">
        <v>0</v>
      </c>
      <c r="D15" s="3">
        <v>0</v>
      </c>
      <c r="E15" s="3">
        <v>1</v>
      </c>
      <c r="G15" s="3">
        <v>0</v>
      </c>
      <c r="H15" s="3">
        <v>1</v>
      </c>
      <c r="I15" s="3">
        <v>0</v>
      </c>
      <c r="K15" s="3">
        <v>0</v>
      </c>
      <c r="L15" s="3">
        <v>0</v>
      </c>
      <c r="M15" s="3">
        <v>1</v>
      </c>
    </row>
    <row r="16" spans="1:13">
      <c r="A16" t="s">
        <v>18</v>
      </c>
      <c r="C16" s="3">
        <v>1</v>
      </c>
      <c r="D16" s="3">
        <v>0</v>
      </c>
      <c r="E16" s="3">
        <v>0</v>
      </c>
      <c r="G16" s="3">
        <v>0</v>
      </c>
      <c r="H16" s="3">
        <v>1</v>
      </c>
      <c r="I16" s="3">
        <v>0</v>
      </c>
      <c r="K16" s="3">
        <v>1</v>
      </c>
      <c r="L16" s="3">
        <v>0</v>
      </c>
      <c r="M16" s="3">
        <v>0</v>
      </c>
    </row>
    <row r="17" spans="1:13">
      <c r="A17" t="s">
        <v>19</v>
      </c>
      <c r="C17" s="3">
        <f>C13*C16*C15-C15</f>
        <v>0</v>
      </c>
      <c r="D17" s="3">
        <f>D13*D16*D15-D15</f>
        <v>0</v>
      </c>
      <c r="E17" s="3">
        <f>E13*E16*E15-E15</f>
        <v>-1</v>
      </c>
      <c r="G17" s="3">
        <f>G13*G16*G15-G15</f>
        <v>0</v>
      </c>
      <c r="H17" s="3">
        <f>H13*H16*H15-H15</f>
        <v>1.1499999999999999</v>
      </c>
      <c r="I17" s="3">
        <f>I13*I16*I15-I15</f>
        <v>0</v>
      </c>
      <c r="K17" s="3">
        <f>K13*K16*K15-K15</f>
        <v>0</v>
      </c>
      <c r="L17" s="3">
        <f>L13*L16*L15-L15</f>
        <v>0</v>
      </c>
      <c r="M17" s="3">
        <f>M13*M16*M15-M15</f>
        <v>-1</v>
      </c>
    </row>
    <row r="19" spans="1:13">
      <c r="A19" s="1" t="s">
        <v>0</v>
      </c>
      <c r="C19" s="1" t="s">
        <v>1</v>
      </c>
      <c r="E19" s="1">
        <f>0+C26+D26+E26 + E10</f>
        <v>-3</v>
      </c>
      <c r="G19" s="1" t="s">
        <v>2</v>
      </c>
      <c r="I19" s="1">
        <f>0+G26+H26+I26 + I10</f>
        <v>2.63</v>
      </c>
      <c r="K19" s="1" t="s">
        <v>3</v>
      </c>
      <c r="M19" s="1">
        <f>0+K26+L26+M26 + M10</f>
        <v>2.9699999999999998</v>
      </c>
    </row>
    <row r="20" spans="1:13">
      <c r="A20" t="s">
        <v>21</v>
      </c>
      <c r="C20" s="2" t="s">
        <v>5</v>
      </c>
      <c r="D20" s="2" t="s">
        <v>6</v>
      </c>
      <c r="E20" s="2" t="s">
        <v>7</v>
      </c>
      <c r="G20" s="2" t="s">
        <v>8</v>
      </c>
      <c r="H20" s="2" t="s">
        <v>9</v>
      </c>
      <c r="I20" s="2" t="s">
        <v>10</v>
      </c>
      <c r="K20" s="2" t="s">
        <v>11</v>
      </c>
      <c r="L20" s="2" t="s">
        <v>12</v>
      </c>
      <c r="M20" s="2" t="s">
        <v>13</v>
      </c>
    </row>
    <row r="21" spans="1:13">
      <c r="A21" t="s">
        <v>14</v>
      </c>
      <c r="C21" s="3">
        <v>1.748</v>
      </c>
      <c r="D21" s="3">
        <v>5.6749999999999998</v>
      </c>
      <c r="E21" s="3">
        <v>3.9710000000000001</v>
      </c>
      <c r="G21" s="3">
        <v>2.5230000000000001</v>
      </c>
      <c r="H21" s="3">
        <v>2.4580000000000002</v>
      </c>
      <c r="I21" s="3">
        <v>5.0750000000000002</v>
      </c>
      <c r="K21" s="3">
        <v>4.6079999999999997</v>
      </c>
      <c r="L21" s="3">
        <v>1.875</v>
      </c>
      <c r="M21" s="3">
        <v>4</v>
      </c>
    </row>
    <row r="22" spans="1:13">
      <c r="A22" t="s">
        <v>15</v>
      </c>
      <c r="C22" s="3">
        <v>2.4</v>
      </c>
      <c r="D22" s="3">
        <v>3.67</v>
      </c>
      <c r="E22" s="3">
        <v>2.93</v>
      </c>
      <c r="G22" s="3">
        <v>2.96</v>
      </c>
      <c r="H22" s="3">
        <v>2.44</v>
      </c>
      <c r="I22" s="3">
        <v>3.34</v>
      </c>
      <c r="K22" s="3">
        <v>2.66</v>
      </c>
      <c r="L22" s="3">
        <v>2.92</v>
      </c>
      <c r="M22" s="3">
        <v>3.05</v>
      </c>
    </row>
    <row r="23" spans="1:13">
      <c r="A23" t="s">
        <v>16</v>
      </c>
      <c r="C23" s="3">
        <f>C22/C21</f>
        <v>1.3729977116704806</v>
      </c>
      <c r="D23" s="3">
        <f>D22/D21</f>
        <v>0.6466960352422908</v>
      </c>
      <c r="E23" s="3">
        <f>E22/E21</f>
        <v>0.73784940820951905</v>
      </c>
      <c r="G23" s="3">
        <f>G22/G21</f>
        <v>1.1732065001981766</v>
      </c>
      <c r="H23" s="3">
        <f>H22/H21</f>
        <v>0.99267697314890146</v>
      </c>
      <c r="I23" s="3">
        <f>I22/I21</f>
        <v>0.65812807881773394</v>
      </c>
      <c r="K23" s="3">
        <f>K22/K21</f>
        <v>0.57725694444444453</v>
      </c>
      <c r="L23" s="3">
        <f>L22/L21</f>
        <v>1.5573333333333332</v>
      </c>
      <c r="M23" s="3">
        <f>M22/M21</f>
        <v>0.76249999999999996</v>
      </c>
    </row>
    <row r="24" spans="1:13">
      <c r="A24" t="s">
        <v>17</v>
      </c>
      <c r="C24" s="3">
        <v>1</v>
      </c>
      <c r="D24" s="3">
        <v>0</v>
      </c>
      <c r="E24" s="3">
        <v>0</v>
      </c>
      <c r="G24" s="3">
        <v>1</v>
      </c>
      <c r="H24" s="3">
        <v>0</v>
      </c>
      <c r="I24" s="3">
        <v>0</v>
      </c>
      <c r="K24" s="3">
        <v>0</v>
      </c>
      <c r="L24" s="3">
        <v>1</v>
      </c>
      <c r="M24" s="3">
        <v>0</v>
      </c>
    </row>
    <row r="25" spans="1:13">
      <c r="A25" t="s">
        <v>18</v>
      </c>
      <c r="C25" s="3">
        <v>0</v>
      </c>
      <c r="D25" s="3">
        <v>0</v>
      </c>
      <c r="E25" s="3">
        <v>1</v>
      </c>
      <c r="G25" s="3">
        <v>0</v>
      </c>
      <c r="H25" s="3">
        <v>0</v>
      </c>
      <c r="I25" s="3">
        <v>1</v>
      </c>
      <c r="K25" s="3">
        <v>0</v>
      </c>
      <c r="L25" s="3">
        <v>1</v>
      </c>
      <c r="M25" s="3">
        <v>0</v>
      </c>
    </row>
    <row r="26" spans="1:13">
      <c r="A26" t="s">
        <v>19</v>
      </c>
      <c r="C26" s="3">
        <f>C22*C25*C24-C24</f>
        <v>-1</v>
      </c>
      <c r="D26" s="3">
        <f>D22*D25*D24-D24</f>
        <v>0</v>
      </c>
      <c r="E26" s="3">
        <f>E22*E25*E24-E24</f>
        <v>0</v>
      </c>
      <c r="G26" s="3">
        <f>G22*G25*G24-G24</f>
        <v>-1</v>
      </c>
      <c r="H26" s="3">
        <f>H22*H25*H24-H24</f>
        <v>0</v>
      </c>
      <c r="I26" s="3">
        <f>I22*I25*I24-I24</f>
        <v>0</v>
      </c>
      <c r="K26" s="3">
        <f>K22*K25*K24-K24</f>
        <v>0</v>
      </c>
      <c r="L26" s="3">
        <f>L22*L25*L24-L24</f>
        <v>1.92</v>
      </c>
      <c r="M26" s="3">
        <f>M22*M25*M24-M24</f>
        <v>0</v>
      </c>
    </row>
    <row r="28" spans="1:13">
      <c r="A28" s="1" t="s">
        <v>0</v>
      </c>
      <c r="C28" s="1" t="s">
        <v>1</v>
      </c>
      <c r="E28" s="1">
        <f>0+C35+D35+E35 + E19</f>
        <v>-2</v>
      </c>
      <c r="G28" s="1" t="s">
        <v>2</v>
      </c>
      <c r="I28" s="1">
        <f>0+G35+H35+I35 + I19</f>
        <v>4.21</v>
      </c>
      <c r="K28" s="1" t="s">
        <v>3</v>
      </c>
      <c r="M28" s="1">
        <f>0+K35+L35+M35 + M19</f>
        <v>4.3099999999999996</v>
      </c>
    </row>
    <row r="29" spans="1:13">
      <c r="A29" t="s">
        <v>22</v>
      </c>
      <c r="C29" s="2" t="s">
        <v>5</v>
      </c>
      <c r="D29" s="2" t="s">
        <v>6</v>
      </c>
      <c r="E29" s="2" t="s">
        <v>7</v>
      </c>
      <c r="G29" s="2" t="s">
        <v>8</v>
      </c>
      <c r="H29" s="2" t="s">
        <v>9</v>
      </c>
      <c r="I29" s="2" t="s">
        <v>10</v>
      </c>
      <c r="K29" s="2" t="s">
        <v>11</v>
      </c>
      <c r="L29" s="2" t="s">
        <v>12</v>
      </c>
      <c r="M29" s="2" t="s">
        <v>13</v>
      </c>
    </row>
    <row r="30" spans="1:13">
      <c r="A30" t="s">
        <v>14</v>
      </c>
      <c r="C30" s="3">
        <v>1.3460000000000001</v>
      </c>
      <c r="D30" s="3">
        <v>15.301</v>
      </c>
      <c r="E30" s="3">
        <v>5.2080000000000002</v>
      </c>
      <c r="G30" s="3">
        <v>1.464</v>
      </c>
      <c r="H30" s="3">
        <v>4.6369999999999996</v>
      </c>
      <c r="I30" s="3">
        <v>9.8460000000000001</v>
      </c>
      <c r="K30" s="3">
        <v>1.766</v>
      </c>
      <c r="L30" s="3">
        <v>3.8610000000000002</v>
      </c>
      <c r="M30" s="3">
        <v>5.7160000000000002</v>
      </c>
    </row>
    <row r="31" spans="1:13">
      <c r="A31" t="s">
        <v>15</v>
      </c>
      <c r="C31" s="3">
        <v>2</v>
      </c>
      <c r="D31" s="3">
        <v>4.01</v>
      </c>
      <c r="E31" s="3">
        <v>3.57</v>
      </c>
      <c r="G31" s="3">
        <v>2.58</v>
      </c>
      <c r="H31" s="3">
        <v>2.68</v>
      </c>
      <c r="I31" s="3">
        <v>3.5</v>
      </c>
      <c r="K31" s="3">
        <v>2.34</v>
      </c>
      <c r="L31" s="3">
        <v>3.18</v>
      </c>
      <c r="M31" s="3">
        <v>3.29</v>
      </c>
    </row>
    <row r="32" spans="1:13">
      <c r="A32" t="s">
        <v>16</v>
      </c>
      <c r="C32" s="3">
        <f>C31/C30</f>
        <v>1.4858841010401187</v>
      </c>
      <c r="D32" s="3">
        <f>D31/D30</f>
        <v>0.26207437422390689</v>
      </c>
      <c r="E32" s="3">
        <f>E31/E30</f>
        <v>0.68548387096774188</v>
      </c>
      <c r="G32" s="3">
        <f>G31/G30</f>
        <v>1.7622950819672132</v>
      </c>
      <c r="H32" s="3">
        <f>H31/H30</f>
        <v>0.57795988785852936</v>
      </c>
      <c r="I32" s="3">
        <f>I31/I30</f>
        <v>0.35547430428600446</v>
      </c>
      <c r="K32" s="3">
        <f>K31/K30</f>
        <v>1.3250283125707814</v>
      </c>
      <c r="L32" s="3">
        <f>L31/L30</f>
        <v>0.82362082362082367</v>
      </c>
      <c r="M32" s="3">
        <f>M31/M30</f>
        <v>0.57557732680195939</v>
      </c>
    </row>
    <row r="33" spans="1:13">
      <c r="A33" t="s">
        <v>17</v>
      </c>
      <c r="C33" s="3">
        <v>1</v>
      </c>
      <c r="D33" s="3">
        <v>0</v>
      </c>
      <c r="E33" s="3">
        <v>0</v>
      </c>
      <c r="G33" s="3">
        <v>1</v>
      </c>
      <c r="H33" s="3">
        <v>0</v>
      </c>
      <c r="I33" s="3">
        <v>0</v>
      </c>
      <c r="K33" s="3">
        <v>1</v>
      </c>
      <c r="L33" s="3">
        <v>0</v>
      </c>
      <c r="M33" s="3">
        <v>0</v>
      </c>
    </row>
    <row r="34" spans="1:13">
      <c r="A34" t="s">
        <v>18</v>
      </c>
      <c r="C34" s="3">
        <v>1</v>
      </c>
      <c r="D34" s="3">
        <v>0</v>
      </c>
      <c r="E34" s="3">
        <v>0</v>
      </c>
      <c r="G34" s="3">
        <v>1</v>
      </c>
      <c r="H34" s="3">
        <v>0</v>
      </c>
      <c r="I34" s="3">
        <v>0</v>
      </c>
      <c r="K34" s="3">
        <v>1</v>
      </c>
      <c r="L34" s="3">
        <v>0</v>
      </c>
      <c r="M34" s="3">
        <v>0</v>
      </c>
    </row>
    <row r="35" spans="1:13">
      <c r="A35" t="s">
        <v>19</v>
      </c>
      <c r="C35" s="3">
        <f>C31*C34*C33-C33</f>
        <v>1</v>
      </c>
      <c r="D35" s="3">
        <f>D31*D34*D33-D33</f>
        <v>0</v>
      </c>
      <c r="E35" s="3">
        <f>E31*E34*E33-E33</f>
        <v>0</v>
      </c>
      <c r="G35" s="3">
        <f>G31*G34*G33-G33</f>
        <v>1.58</v>
      </c>
      <c r="H35" s="3">
        <f>H31*H34*H33-H33</f>
        <v>0</v>
      </c>
      <c r="I35" s="3">
        <f>I31*I34*I33-I33</f>
        <v>0</v>
      </c>
      <c r="K35" s="3">
        <f>K31*K34*K33-K33</f>
        <v>1.3399999999999999</v>
      </c>
      <c r="L35" s="3">
        <f>L31*L34*L33-L33</f>
        <v>0</v>
      </c>
      <c r="M35" s="3">
        <f>M31*M34*M33-M33</f>
        <v>0</v>
      </c>
    </row>
    <row r="37" spans="1:13">
      <c r="A37" s="1" t="s">
        <v>0</v>
      </c>
      <c r="C37" s="1" t="s">
        <v>1</v>
      </c>
      <c r="E37" s="1">
        <f>0+C44+D44+E44 + E28</f>
        <v>-3</v>
      </c>
      <c r="G37" s="1" t="s">
        <v>2</v>
      </c>
      <c r="I37" s="1">
        <f>0+G44+H44+I44 + I28</f>
        <v>3.21</v>
      </c>
      <c r="K37" s="1" t="s">
        <v>3</v>
      </c>
      <c r="M37" s="1">
        <f>0+K44+L44+M44 + M28</f>
        <v>3.3099999999999996</v>
      </c>
    </row>
    <row r="38" spans="1:13">
      <c r="A38" t="s">
        <v>23</v>
      </c>
      <c r="C38" s="2" t="s">
        <v>5</v>
      </c>
      <c r="D38" s="2" t="s">
        <v>6</v>
      </c>
      <c r="E38" s="2" t="s">
        <v>7</v>
      </c>
      <c r="G38" s="2" t="s">
        <v>8</v>
      </c>
      <c r="H38" s="2" t="s">
        <v>9</v>
      </c>
      <c r="I38" s="2" t="s">
        <v>10</v>
      </c>
      <c r="K38" s="2" t="s">
        <v>11</v>
      </c>
      <c r="L38" s="2" t="s">
        <v>12</v>
      </c>
      <c r="M38" s="2" t="s">
        <v>13</v>
      </c>
    </row>
    <row r="39" spans="1:13">
      <c r="A39" t="s">
        <v>14</v>
      </c>
      <c r="C39" s="3">
        <v>1.927</v>
      </c>
      <c r="D39" s="3">
        <v>3.218</v>
      </c>
      <c r="E39" s="3">
        <v>5.8609999999999998</v>
      </c>
      <c r="G39" s="3">
        <v>5.242</v>
      </c>
      <c r="H39" s="3">
        <v>1.758</v>
      </c>
      <c r="I39" s="3">
        <v>4.1580000000000004</v>
      </c>
      <c r="K39" s="3">
        <v>1.7629999999999999</v>
      </c>
      <c r="L39" s="3">
        <v>3.3450000000000002</v>
      </c>
      <c r="M39" s="3">
        <v>7.47</v>
      </c>
    </row>
    <row r="40" spans="1:13">
      <c r="A40" t="s">
        <v>15</v>
      </c>
      <c r="C40" s="3">
        <v>2.09</v>
      </c>
      <c r="D40" s="3">
        <v>3.17</v>
      </c>
      <c r="E40" s="3">
        <v>4.22</v>
      </c>
      <c r="G40" s="3">
        <v>2.92</v>
      </c>
      <c r="H40" s="3">
        <v>2.0299999999999998</v>
      </c>
      <c r="I40" s="3">
        <v>4.74</v>
      </c>
      <c r="K40" s="3">
        <v>2.46</v>
      </c>
      <c r="L40" s="3">
        <v>2.46</v>
      </c>
      <c r="M40" s="3">
        <v>4.28</v>
      </c>
    </row>
    <row r="41" spans="1:13">
      <c r="A41" t="s">
        <v>16</v>
      </c>
      <c r="C41" s="3">
        <f>C40/C39</f>
        <v>1.084587441619097</v>
      </c>
      <c r="D41" s="3">
        <f>D40/D39</f>
        <v>0.98508390304536975</v>
      </c>
      <c r="E41" s="3">
        <f>E40/E39</f>
        <v>0.72001364954785874</v>
      </c>
      <c r="G41" s="3">
        <f>G40/G39</f>
        <v>0.557039297977871</v>
      </c>
      <c r="H41" s="3">
        <f>H40/H39</f>
        <v>1.1547212741751989</v>
      </c>
      <c r="I41" s="3">
        <f>I40/I39</f>
        <v>1.1399711399711399</v>
      </c>
      <c r="K41" s="3">
        <f>K40/K39</f>
        <v>1.3953488372093024</v>
      </c>
      <c r="L41" s="3">
        <f>L40/L39</f>
        <v>0.73542600896860977</v>
      </c>
      <c r="M41" s="3">
        <f>M40/M39</f>
        <v>0.57295850066934406</v>
      </c>
    </row>
    <row r="42" spans="1:13">
      <c r="A42" t="s">
        <v>17</v>
      </c>
      <c r="C42" s="3">
        <v>1</v>
      </c>
      <c r="D42" s="3">
        <v>0</v>
      </c>
      <c r="E42" s="3">
        <v>0</v>
      </c>
      <c r="G42" s="3">
        <v>0</v>
      </c>
      <c r="H42" s="3">
        <v>1</v>
      </c>
      <c r="I42" s="3">
        <v>0</v>
      </c>
      <c r="K42" s="3">
        <v>1</v>
      </c>
      <c r="L42" s="3">
        <v>0</v>
      </c>
      <c r="M42" s="3">
        <v>0</v>
      </c>
    </row>
    <row r="43" spans="1:13">
      <c r="A43" t="s">
        <v>18</v>
      </c>
      <c r="C43" s="3">
        <v>0</v>
      </c>
      <c r="D43" s="3">
        <v>0</v>
      </c>
      <c r="E43" s="3">
        <v>1</v>
      </c>
      <c r="G43" s="3">
        <v>0</v>
      </c>
      <c r="H43" s="3">
        <v>0</v>
      </c>
      <c r="I43" s="3">
        <v>1</v>
      </c>
      <c r="K43" s="3">
        <v>0</v>
      </c>
      <c r="L43" s="3">
        <v>1</v>
      </c>
      <c r="M43" s="3">
        <v>0</v>
      </c>
    </row>
    <row r="44" spans="1:13">
      <c r="A44" t="s">
        <v>19</v>
      </c>
      <c r="C44" s="3">
        <f>C40*C43*C42-C42</f>
        <v>-1</v>
      </c>
      <c r="D44" s="3">
        <f>D40*D43*D42-D42</f>
        <v>0</v>
      </c>
      <c r="E44" s="3">
        <f>E40*E43*E42-E42</f>
        <v>0</v>
      </c>
      <c r="G44" s="3">
        <f>G40*G43*G42-G42</f>
        <v>0</v>
      </c>
      <c r="H44" s="3">
        <f>H40*H43*H42-H42</f>
        <v>-1</v>
      </c>
      <c r="I44" s="3">
        <f>I40*I43*I42-I42</f>
        <v>0</v>
      </c>
      <c r="K44" s="3">
        <f>K40*K43*K42-K42</f>
        <v>-1</v>
      </c>
      <c r="L44" s="3">
        <f>L40*L43*L42-L42</f>
        <v>0</v>
      </c>
      <c r="M44" s="3">
        <f>M40*M43*M42-M42</f>
        <v>0</v>
      </c>
    </row>
    <row r="46" spans="1:13">
      <c r="A46" s="1" t="s">
        <v>0</v>
      </c>
      <c r="C46" s="1" t="s">
        <v>1</v>
      </c>
      <c r="E46" s="1">
        <f>0+C53+D53+E53 + E37</f>
        <v>-4</v>
      </c>
      <c r="G46" s="1" t="s">
        <v>2</v>
      </c>
      <c r="I46" s="1">
        <f>0+G53+H53+I53 + I37</f>
        <v>2.21</v>
      </c>
      <c r="K46" s="1" t="s">
        <v>3</v>
      </c>
      <c r="M46" s="1">
        <f>0+K53+L53+M53 + M37</f>
        <v>2.3099999999999996</v>
      </c>
    </row>
    <row r="47" spans="1:13">
      <c r="A47" t="s">
        <v>24</v>
      </c>
      <c r="C47" s="2" t="s">
        <v>5</v>
      </c>
      <c r="D47" s="2" t="s">
        <v>6</v>
      </c>
      <c r="E47" s="2" t="s">
        <v>7</v>
      </c>
      <c r="G47" s="2" t="s">
        <v>8</v>
      </c>
      <c r="H47" s="2" t="s">
        <v>9</v>
      </c>
      <c r="I47" s="2" t="s">
        <v>10</v>
      </c>
      <c r="K47" s="2" t="s">
        <v>11</v>
      </c>
      <c r="L47" s="2" t="s">
        <v>12</v>
      </c>
      <c r="M47" s="2" t="s">
        <v>13</v>
      </c>
    </row>
    <row r="48" spans="1:13">
      <c r="A48" t="s">
        <v>14</v>
      </c>
      <c r="C48" s="3">
        <v>1.2769999999999999</v>
      </c>
      <c r="D48" s="3">
        <v>6.7119999999999997</v>
      </c>
      <c r="E48" s="3">
        <v>14.614000000000001</v>
      </c>
      <c r="G48" s="3">
        <v>2.6760000000000002</v>
      </c>
      <c r="H48" s="3">
        <v>1.8340000000000001</v>
      </c>
      <c r="I48" s="3">
        <v>12.303000000000001</v>
      </c>
      <c r="K48" s="3">
        <v>1.3959999999999999</v>
      </c>
      <c r="L48" s="3">
        <v>5.4969999999999999</v>
      </c>
      <c r="M48" s="3">
        <v>9.7850000000000001</v>
      </c>
    </row>
    <row r="49" spans="1:14">
      <c r="A49" t="s">
        <v>15</v>
      </c>
      <c r="C49" s="3">
        <v>1.1399999999999999</v>
      </c>
      <c r="D49" s="3">
        <v>10.3</v>
      </c>
      <c r="E49" s="3">
        <v>17.7</v>
      </c>
      <c r="G49" s="3">
        <v>1.43</v>
      </c>
      <c r="H49" s="3">
        <v>3.95</v>
      </c>
      <c r="I49" s="3">
        <v>10.3</v>
      </c>
      <c r="K49" s="3">
        <v>1.32</v>
      </c>
      <c r="L49" s="3">
        <v>5.24</v>
      </c>
      <c r="M49" s="3">
        <v>10.5</v>
      </c>
    </row>
    <row r="50" spans="1:14">
      <c r="A50" t="s">
        <v>16</v>
      </c>
      <c r="C50" s="3">
        <f>C49/C48</f>
        <v>0.89271730618637435</v>
      </c>
      <c r="D50" s="3">
        <f>D49/D48</f>
        <v>1.5345649582836711</v>
      </c>
      <c r="E50" s="3">
        <f>E49/E48</f>
        <v>1.2111673737511974</v>
      </c>
      <c r="G50" s="3">
        <f>G49/G48</f>
        <v>0.53437967115097151</v>
      </c>
      <c r="H50" s="3">
        <f>H49/H48</f>
        <v>2.1537622682660849</v>
      </c>
      <c r="I50" s="3">
        <f>I49/I48</f>
        <v>0.83719418028123227</v>
      </c>
      <c r="K50" s="3">
        <f>K49/K48</f>
        <v>0.94555873925501444</v>
      </c>
      <c r="L50" s="3">
        <f>L49/L48</f>
        <v>0.95324722575950527</v>
      </c>
      <c r="M50" s="3">
        <f>M49/M48</f>
        <v>1.0730710270822688</v>
      </c>
    </row>
    <row r="51" spans="1:14">
      <c r="A51" t="s">
        <v>17</v>
      </c>
      <c r="C51" s="3">
        <v>0</v>
      </c>
      <c r="D51" s="3">
        <v>1</v>
      </c>
      <c r="E51" s="3">
        <v>0</v>
      </c>
      <c r="G51" s="3">
        <v>0</v>
      </c>
      <c r="H51" s="3">
        <v>1</v>
      </c>
      <c r="I51" s="3">
        <v>0</v>
      </c>
      <c r="K51" s="3">
        <v>0</v>
      </c>
      <c r="L51" s="3">
        <v>0</v>
      </c>
      <c r="M51" s="3">
        <v>1</v>
      </c>
    </row>
    <row r="52" spans="1:14">
      <c r="A52" t="s">
        <v>18</v>
      </c>
      <c r="C52" s="3">
        <v>1</v>
      </c>
      <c r="D52" s="3">
        <v>0</v>
      </c>
      <c r="E52" s="3">
        <v>0</v>
      </c>
      <c r="G52" s="3">
        <v>1</v>
      </c>
      <c r="H52" s="3">
        <v>0</v>
      </c>
      <c r="I52" s="3">
        <v>0</v>
      </c>
      <c r="K52" s="3">
        <v>0</v>
      </c>
      <c r="L52" s="3">
        <v>1</v>
      </c>
      <c r="M52" s="3">
        <v>0</v>
      </c>
    </row>
    <row r="53" spans="1:14">
      <c r="A53" t="s">
        <v>19</v>
      </c>
      <c r="C53" s="3">
        <f>C49*C52*C51-C51</f>
        <v>0</v>
      </c>
      <c r="D53" s="3">
        <f>D49*D52*D51-D51</f>
        <v>-1</v>
      </c>
      <c r="E53" s="3">
        <f>E49*E52*E51-E51</f>
        <v>0</v>
      </c>
      <c r="G53" s="3">
        <f>G49*G52*G51-G51</f>
        <v>0</v>
      </c>
      <c r="H53" s="3">
        <f>H49*H52*H51-H51</f>
        <v>-1</v>
      </c>
      <c r="I53" s="3">
        <f>I49*I52*I51-I51</f>
        <v>0</v>
      </c>
      <c r="K53" s="3">
        <f>K49*K52*K51-K51</f>
        <v>0</v>
      </c>
      <c r="L53" s="3">
        <f>L49*L52*L51-L51</f>
        <v>0</v>
      </c>
      <c r="M53" s="3">
        <f>M49*M52*M51-M51</f>
        <v>-1</v>
      </c>
    </row>
    <row r="55" spans="1:14">
      <c r="A55" s="1" t="s">
        <v>0</v>
      </c>
      <c r="C55" s="1" t="s">
        <v>1</v>
      </c>
      <c r="E55" s="1">
        <f>0+C62+D62+E62 + E46</f>
        <v>-2.81</v>
      </c>
      <c r="G55" s="1" t="s">
        <v>2</v>
      </c>
      <c r="I55" s="1">
        <f>0+G62+H62+I62 + I46</f>
        <v>1.21</v>
      </c>
      <c r="K55" s="1" t="s">
        <v>3</v>
      </c>
      <c r="M55" s="1">
        <f>0+K62+L62+M62 + M46</f>
        <v>1.3099999999999996</v>
      </c>
      <c r="N55">
        <f>M55+I55+E55</f>
        <v>-0.29000000000000048</v>
      </c>
    </row>
    <row r="56" spans="1:14">
      <c r="A56" t="s">
        <v>25</v>
      </c>
      <c r="C56" s="2" t="s">
        <v>5</v>
      </c>
      <c r="D56" s="2" t="s">
        <v>6</v>
      </c>
      <c r="E56" s="2" t="s">
        <v>7</v>
      </c>
      <c r="G56" s="2" t="s">
        <v>8</v>
      </c>
      <c r="H56" s="2" t="s">
        <v>9</v>
      </c>
      <c r="I56" s="2" t="s">
        <v>10</v>
      </c>
      <c r="K56" s="2" t="s">
        <v>11</v>
      </c>
      <c r="L56" s="2" t="s">
        <v>12</v>
      </c>
      <c r="M56" s="2" t="s">
        <v>13</v>
      </c>
    </row>
    <row r="57" spans="1:14">
      <c r="A57" t="s">
        <v>14</v>
      </c>
      <c r="C57" s="3">
        <v>1.744</v>
      </c>
      <c r="D57" s="3">
        <v>3.8620000000000001</v>
      </c>
      <c r="E57" s="3">
        <v>5.9530000000000003</v>
      </c>
      <c r="G57" s="3">
        <v>3.6339999999999999</v>
      </c>
      <c r="H57" s="3">
        <v>1.7130000000000001</v>
      </c>
      <c r="I57" s="3">
        <v>7.08</v>
      </c>
      <c r="K57" s="3">
        <v>2.0779999999999998</v>
      </c>
      <c r="L57" s="3">
        <v>3.6920000000000002</v>
      </c>
      <c r="M57" s="3">
        <v>4.0309999999999997</v>
      </c>
    </row>
    <row r="58" spans="1:14">
      <c r="A58" t="s">
        <v>15</v>
      </c>
      <c r="C58" s="3">
        <v>2.19</v>
      </c>
      <c r="D58" s="3">
        <v>3.87</v>
      </c>
      <c r="E58" s="3">
        <v>3.16</v>
      </c>
      <c r="G58" s="3">
        <v>2.82</v>
      </c>
      <c r="H58" s="3">
        <v>2.46</v>
      </c>
      <c r="I58" s="3">
        <v>3.49</v>
      </c>
      <c r="K58" s="3">
        <v>2.58</v>
      </c>
      <c r="L58" s="3">
        <v>3.03</v>
      </c>
      <c r="M58" s="3">
        <v>3.04</v>
      </c>
    </row>
    <row r="59" spans="1:14">
      <c r="A59" t="s">
        <v>16</v>
      </c>
      <c r="C59" s="3">
        <f>C58/C57</f>
        <v>1.2557339449541285</v>
      </c>
      <c r="D59" s="3">
        <f>D58/D57</f>
        <v>1.002071465561885</v>
      </c>
      <c r="E59" s="3">
        <f>E58/E57</f>
        <v>0.53082479422140094</v>
      </c>
      <c r="G59" s="3">
        <f>G58/G57</f>
        <v>0.77600440286186023</v>
      </c>
      <c r="H59" s="3">
        <f>H58/H57</f>
        <v>1.4360770577933448</v>
      </c>
      <c r="I59" s="3">
        <f>I58/I57</f>
        <v>0.49293785310734467</v>
      </c>
      <c r="K59" s="3">
        <f>K58/K57</f>
        <v>1.2415784408084698</v>
      </c>
      <c r="L59" s="3">
        <f>L58/L57</f>
        <v>0.82069339111592621</v>
      </c>
      <c r="M59" s="3">
        <f>M58/M57</f>
        <v>0.75415529645249324</v>
      </c>
    </row>
    <row r="60" spans="1:14">
      <c r="A60" t="s">
        <v>17</v>
      </c>
      <c r="C60" s="3">
        <v>1</v>
      </c>
      <c r="D60" s="3">
        <v>0</v>
      </c>
      <c r="E60" s="3">
        <v>0</v>
      </c>
      <c r="G60" s="3">
        <v>0</v>
      </c>
      <c r="H60" s="3">
        <v>1</v>
      </c>
      <c r="I60" s="3">
        <v>0</v>
      </c>
      <c r="K60" s="3">
        <v>1</v>
      </c>
      <c r="L60" s="3">
        <v>0</v>
      </c>
      <c r="M60" s="3">
        <v>0</v>
      </c>
    </row>
    <row r="61" spans="1:14">
      <c r="A61" t="s">
        <v>18</v>
      </c>
      <c r="C61" s="3">
        <v>1</v>
      </c>
      <c r="D61" s="3">
        <v>0</v>
      </c>
      <c r="E61" s="3">
        <v>0</v>
      </c>
      <c r="G61" s="3">
        <v>1</v>
      </c>
      <c r="H61" s="3">
        <v>0</v>
      </c>
      <c r="I61" s="3">
        <v>0</v>
      </c>
      <c r="K61" s="3">
        <v>0</v>
      </c>
      <c r="L61" s="3">
        <v>1</v>
      </c>
      <c r="M61" s="3">
        <v>0</v>
      </c>
    </row>
    <row r="62" spans="1:14">
      <c r="A62" t="s">
        <v>19</v>
      </c>
      <c r="C62" s="3">
        <f>C58*C61*C60-C60</f>
        <v>1.19</v>
      </c>
      <c r="D62" s="3">
        <f>D58*D61*D60-D60</f>
        <v>0</v>
      </c>
      <c r="E62" s="3">
        <f>E58*E61*E60-E60</f>
        <v>0</v>
      </c>
      <c r="G62" s="3">
        <f>G58*G61*G60-G60</f>
        <v>0</v>
      </c>
      <c r="H62" s="3">
        <f>H58*H61*H60-H60</f>
        <v>-1</v>
      </c>
      <c r="I62" s="3">
        <f>I58*I61*I60-I60</f>
        <v>0</v>
      </c>
      <c r="K62" s="3">
        <f>K58*K61*K60-K60</f>
        <v>-1</v>
      </c>
      <c r="L62" s="3">
        <f>L58*L61*L60-L60</f>
        <v>0</v>
      </c>
      <c r="M62" s="3">
        <f>M58*M61*M60-M60</f>
        <v>0</v>
      </c>
    </row>
    <row r="64" spans="1:14">
      <c r="A64" s="1" t="s">
        <v>26</v>
      </c>
      <c r="C64" s="1" t="s">
        <v>1</v>
      </c>
      <c r="E64" s="1">
        <f>0+C71+D71+E71 + E55</f>
        <v>-3.81</v>
      </c>
      <c r="G64" s="1" t="s">
        <v>2</v>
      </c>
      <c r="I64" s="1">
        <f>0+G71+H71+I71 + I55</f>
        <v>0.20999999999999996</v>
      </c>
      <c r="K64" s="1" t="s">
        <v>3</v>
      </c>
      <c r="M64" s="1">
        <f>0+K71+L71+M71 + M55</f>
        <v>3.0899999999999994</v>
      </c>
    </row>
    <row r="65" spans="1:13">
      <c r="A65" t="s">
        <v>27</v>
      </c>
      <c r="C65" s="2" t="s">
        <v>5</v>
      </c>
      <c r="D65" s="2" t="s">
        <v>6</v>
      </c>
      <c r="E65" s="2" t="s">
        <v>7</v>
      </c>
      <c r="G65" s="2" t="s">
        <v>8</v>
      </c>
      <c r="H65" s="2" t="s">
        <v>9</v>
      </c>
      <c r="I65" s="2" t="s">
        <v>10</v>
      </c>
      <c r="K65" s="2" t="s">
        <v>11</v>
      </c>
      <c r="L65" s="2" t="s">
        <v>12</v>
      </c>
      <c r="M65" s="2" t="s">
        <v>13</v>
      </c>
    </row>
    <row r="66" spans="1:13">
      <c r="A66" t="s">
        <v>14</v>
      </c>
      <c r="C66" s="3">
        <v>7.8680000000000003</v>
      </c>
      <c r="D66" s="3">
        <v>1.544</v>
      </c>
      <c r="E66" s="3">
        <v>4.4340000000000002</v>
      </c>
      <c r="G66" s="3">
        <v>7.0140000000000002</v>
      </c>
      <c r="H66" s="3">
        <v>1.9350000000000001</v>
      </c>
      <c r="I66" s="3">
        <v>2.9340000000000002</v>
      </c>
      <c r="K66" s="3">
        <v>5.0359999999999996</v>
      </c>
      <c r="L66" s="3">
        <v>1.66</v>
      </c>
      <c r="M66" s="3">
        <v>5.0220000000000002</v>
      </c>
    </row>
    <row r="67" spans="1:13">
      <c r="A67" t="s">
        <v>15</v>
      </c>
      <c r="C67" s="3">
        <v>2.38</v>
      </c>
      <c r="D67" s="3">
        <v>3.44</v>
      </c>
      <c r="E67" s="3">
        <v>3.14</v>
      </c>
      <c r="G67" s="3">
        <v>3.08</v>
      </c>
      <c r="H67" s="3">
        <v>2.2599999999999998</v>
      </c>
      <c r="I67" s="3">
        <v>3.59</v>
      </c>
      <c r="K67" s="3">
        <v>2.67</v>
      </c>
      <c r="L67" s="3">
        <v>2.78</v>
      </c>
      <c r="M67" s="3">
        <v>3.21</v>
      </c>
    </row>
    <row r="68" spans="1:13">
      <c r="A68" t="s">
        <v>16</v>
      </c>
      <c r="C68" s="3">
        <f>C67/C66</f>
        <v>0.30249110320284694</v>
      </c>
      <c r="D68" s="3">
        <f>D67/D66</f>
        <v>2.2279792746113989</v>
      </c>
      <c r="E68" s="3">
        <f>E67/E66</f>
        <v>0.70816418583671625</v>
      </c>
      <c r="G68" s="3">
        <f>G67/G66</f>
        <v>0.43912175648702595</v>
      </c>
      <c r="H68" s="3">
        <f>H67/H66</f>
        <v>1.1679586563307491</v>
      </c>
      <c r="I68" s="3">
        <f>I67/I66</f>
        <v>1.2235855487389229</v>
      </c>
      <c r="K68" s="3">
        <f>K67/K66</f>
        <v>0.53018268467037333</v>
      </c>
      <c r="L68" s="3">
        <f>L67/L66</f>
        <v>1.6746987951807228</v>
      </c>
      <c r="M68" s="3">
        <f>M67/M66</f>
        <v>0.6391875746714456</v>
      </c>
    </row>
    <row r="69" spans="1:13">
      <c r="A69" t="s">
        <v>17</v>
      </c>
      <c r="C69" s="3">
        <v>0</v>
      </c>
      <c r="D69" s="3">
        <v>1</v>
      </c>
      <c r="E69" s="3">
        <v>0</v>
      </c>
      <c r="G69" s="3">
        <v>0</v>
      </c>
      <c r="H69" s="3">
        <v>0</v>
      </c>
      <c r="I69" s="3">
        <v>1</v>
      </c>
      <c r="K69" s="3">
        <v>0</v>
      </c>
      <c r="L69" s="3">
        <v>1</v>
      </c>
      <c r="M69" s="3">
        <v>0</v>
      </c>
    </row>
    <row r="70" spans="1:13">
      <c r="A70" t="s">
        <v>18</v>
      </c>
      <c r="C70" s="3">
        <v>1</v>
      </c>
      <c r="D70" s="3">
        <v>0</v>
      </c>
      <c r="E70" s="3">
        <v>0</v>
      </c>
      <c r="G70" s="3">
        <v>1</v>
      </c>
      <c r="H70" s="3">
        <v>0</v>
      </c>
      <c r="I70" s="3">
        <v>0</v>
      </c>
      <c r="K70" s="3">
        <v>0</v>
      </c>
      <c r="L70" s="3">
        <v>1</v>
      </c>
      <c r="M70" s="3">
        <v>0</v>
      </c>
    </row>
    <row r="71" spans="1:13">
      <c r="A71" t="s">
        <v>19</v>
      </c>
      <c r="C71" s="3">
        <f>C67*C70*C69-C69</f>
        <v>0</v>
      </c>
      <c r="D71" s="3">
        <f>D67*D70*D69-D69</f>
        <v>-1</v>
      </c>
      <c r="E71" s="3">
        <f>E67*E70*E69-E69</f>
        <v>0</v>
      </c>
      <c r="G71" s="3">
        <f>G67*G70*G69-G69</f>
        <v>0</v>
      </c>
      <c r="H71" s="3">
        <f>H67*H70*H69-H69</f>
        <v>0</v>
      </c>
      <c r="I71" s="3">
        <f>I67*I70*I69-I69</f>
        <v>-1</v>
      </c>
      <c r="K71" s="3">
        <f>K67*K70*K69-K69</f>
        <v>0</v>
      </c>
      <c r="L71" s="3">
        <f>L67*L70*L69-L69</f>
        <v>1.7799999999999998</v>
      </c>
      <c r="M71" s="3">
        <f>M67*M70*M69-M69</f>
        <v>0</v>
      </c>
    </row>
    <row r="73" spans="1:13">
      <c r="A73" s="1" t="s">
        <v>26</v>
      </c>
      <c r="C73" s="1" t="s">
        <v>1</v>
      </c>
      <c r="E73" s="1">
        <f>0+C80+D80+E80 + E64</f>
        <v>-4.8100000000000005</v>
      </c>
      <c r="G73" s="1" t="s">
        <v>2</v>
      </c>
      <c r="I73" s="1">
        <f>0+G80+H80+I80 + I64</f>
        <v>-0.79</v>
      </c>
      <c r="K73" s="1" t="s">
        <v>3</v>
      </c>
      <c r="M73" s="1">
        <f>0+K80+L80+M80 + M64</f>
        <v>2.0899999999999994</v>
      </c>
    </row>
    <row r="74" spans="1:13">
      <c r="A74" t="s">
        <v>28</v>
      </c>
      <c r="C74" s="2" t="s">
        <v>5</v>
      </c>
      <c r="D74" s="2" t="s">
        <v>6</v>
      </c>
      <c r="E74" s="2" t="s">
        <v>7</v>
      </c>
      <c r="G74" s="2" t="s">
        <v>8</v>
      </c>
      <c r="H74" s="2" t="s">
        <v>9</v>
      </c>
      <c r="I74" s="2" t="s">
        <v>10</v>
      </c>
      <c r="K74" s="2" t="s">
        <v>11</v>
      </c>
      <c r="L74" s="2" t="s">
        <v>12</v>
      </c>
      <c r="M74" s="2" t="s">
        <v>13</v>
      </c>
    </row>
    <row r="75" spans="1:13">
      <c r="A75" t="s">
        <v>14</v>
      </c>
      <c r="C75" s="3">
        <v>2.7090000000000001</v>
      </c>
      <c r="D75" s="3">
        <v>5.008</v>
      </c>
      <c r="E75" s="3">
        <v>2.3180000000000001</v>
      </c>
      <c r="G75" s="3">
        <v>3.3570000000000002</v>
      </c>
      <c r="H75" s="3">
        <v>4.3840000000000003</v>
      </c>
      <c r="I75" s="3">
        <v>2.109</v>
      </c>
      <c r="K75" s="3">
        <v>2.7040000000000002</v>
      </c>
      <c r="L75" s="3">
        <v>6.8029999999999999</v>
      </c>
      <c r="M75" s="3">
        <v>2.069</v>
      </c>
    </row>
    <row r="76" spans="1:13">
      <c r="A76" t="s">
        <v>15</v>
      </c>
      <c r="C76" s="3">
        <v>4.8499999999999996</v>
      </c>
      <c r="D76" s="3">
        <v>4.24</v>
      </c>
      <c r="E76" s="3">
        <v>1.7</v>
      </c>
      <c r="G76" s="3">
        <v>4.8499999999999996</v>
      </c>
      <c r="H76" s="3">
        <v>2.4900000000000002</v>
      </c>
      <c r="I76" s="3">
        <v>2.2799999999999998</v>
      </c>
      <c r="K76" s="3">
        <v>4.3</v>
      </c>
      <c r="L76" s="3">
        <v>2.96</v>
      </c>
      <c r="M76" s="3">
        <v>2.1</v>
      </c>
    </row>
    <row r="77" spans="1:13">
      <c r="A77" t="s">
        <v>16</v>
      </c>
      <c r="C77" s="3">
        <f>C76/C75</f>
        <v>1.7903285345145807</v>
      </c>
      <c r="D77" s="3">
        <f>D76/D75</f>
        <v>0.84664536741214058</v>
      </c>
      <c r="E77" s="3">
        <f>E76/E75</f>
        <v>0.73339085418464189</v>
      </c>
      <c r="G77" s="3">
        <f>G76/G75</f>
        <v>1.4447423294608279</v>
      </c>
      <c r="H77" s="3">
        <f>H76/H75</f>
        <v>0.56797445255474455</v>
      </c>
      <c r="I77" s="3">
        <f>I76/I75</f>
        <v>1.0810810810810809</v>
      </c>
      <c r="K77" s="3">
        <f>K76/K75</f>
        <v>1.5902366863905324</v>
      </c>
      <c r="L77" s="3">
        <f>L76/L75</f>
        <v>0.43510216081140674</v>
      </c>
      <c r="M77" s="3">
        <f>M76/M75</f>
        <v>1.0149830836152731</v>
      </c>
    </row>
    <row r="78" spans="1:13">
      <c r="A78" t="s">
        <v>17</v>
      </c>
      <c r="C78" s="3">
        <v>1</v>
      </c>
      <c r="D78" s="3">
        <v>0</v>
      </c>
      <c r="E78" s="3">
        <v>0</v>
      </c>
      <c r="G78" s="3">
        <v>1</v>
      </c>
      <c r="H78" s="3">
        <v>0</v>
      </c>
      <c r="I78" s="3">
        <v>0</v>
      </c>
      <c r="K78" s="3">
        <v>1</v>
      </c>
      <c r="L78" s="3">
        <v>0</v>
      </c>
      <c r="M78" s="3">
        <v>0</v>
      </c>
    </row>
    <row r="79" spans="1:13">
      <c r="A79" t="s">
        <v>18</v>
      </c>
      <c r="C79" s="3">
        <v>0</v>
      </c>
      <c r="D79" s="3">
        <v>0</v>
      </c>
      <c r="E79" s="3">
        <v>1</v>
      </c>
      <c r="G79" s="3">
        <v>0</v>
      </c>
      <c r="H79" s="3">
        <v>0</v>
      </c>
      <c r="I79" s="3">
        <v>1</v>
      </c>
      <c r="K79" s="3">
        <v>0</v>
      </c>
      <c r="L79" s="3">
        <v>1</v>
      </c>
      <c r="M79" s="3">
        <v>0</v>
      </c>
    </row>
    <row r="80" spans="1:13">
      <c r="A80" t="s">
        <v>19</v>
      </c>
      <c r="C80" s="3">
        <f>C76*C79*C78-C78</f>
        <v>-1</v>
      </c>
      <c r="D80" s="3">
        <f>D76*D79*D78-D78</f>
        <v>0</v>
      </c>
      <c r="E80" s="3">
        <f>E76*E79*E78-E78</f>
        <v>0</v>
      </c>
      <c r="G80" s="3">
        <f>G76*G79*G78-G78</f>
        <v>-1</v>
      </c>
      <c r="H80" s="3">
        <f>H76*H79*H78-H78</f>
        <v>0</v>
      </c>
      <c r="I80" s="3">
        <f>I76*I79*I78-I78</f>
        <v>0</v>
      </c>
      <c r="K80" s="3">
        <f>K76*K79*K78-K78</f>
        <v>-1</v>
      </c>
      <c r="L80" s="3">
        <f>L76*L79*L78-L78</f>
        <v>0</v>
      </c>
      <c r="M80" s="3">
        <f>M76*M79*M78-M78</f>
        <v>0</v>
      </c>
    </row>
    <row r="82" spans="1:13">
      <c r="A82" s="1" t="s">
        <v>26</v>
      </c>
      <c r="C82" s="1" t="s">
        <v>1</v>
      </c>
      <c r="E82" s="1">
        <f>0+C89+D89+E89 + E73</f>
        <v>-5.8100000000000005</v>
      </c>
      <c r="G82" s="1" t="s">
        <v>2</v>
      </c>
      <c r="I82" s="1">
        <f>0+G89+H89+I89 + I73</f>
        <v>3.13</v>
      </c>
      <c r="K82" s="1" t="s">
        <v>3</v>
      </c>
      <c r="M82" s="1">
        <f>0+K89+L89+M89 + M73</f>
        <v>1.0899999999999994</v>
      </c>
    </row>
    <row r="83" spans="1:13">
      <c r="A83" t="s">
        <v>29</v>
      </c>
      <c r="C83" s="2" t="s">
        <v>5</v>
      </c>
      <c r="D83" s="2" t="s">
        <v>6</v>
      </c>
      <c r="E83" s="2" t="s">
        <v>7</v>
      </c>
      <c r="G83" s="2" t="s">
        <v>8</v>
      </c>
      <c r="H83" s="2" t="s">
        <v>9</v>
      </c>
      <c r="I83" s="2" t="s">
        <v>10</v>
      </c>
      <c r="K83" s="2" t="s">
        <v>11</v>
      </c>
      <c r="L83" s="2" t="s">
        <v>12</v>
      </c>
      <c r="M83" s="2" t="s">
        <v>13</v>
      </c>
    </row>
    <row r="84" spans="1:13">
      <c r="A84" t="s">
        <v>14</v>
      </c>
      <c r="C84" s="3">
        <v>1.6319999999999999</v>
      </c>
      <c r="D84" s="3">
        <v>3.8849999999999998</v>
      </c>
      <c r="E84" s="3">
        <v>7.6820000000000004</v>
      </c>
      <c r="G84" s="3">
        <v>1.9430000000000001</v>
      </c>
      <c r="H84" s="3">
        <v>4.5179999999999998</v>
      </c>
      <c r="I84" s="3">
        <v>3.786</v>
      </c>
      <c r="K84" s="3">
        <v>1.7549999999999999</v>
      </c>
      <c r="L84" s="3">
        <v>2.895</v>
      </c>
      <c r="M84" s="3">
        <v>11.775</v>
      </c>
    </row>
    <row r="85" spans="1:13">
      <c r="A85" t="s">
        <v>15</v>
      </c>
      <c r="C85" s="3">
        <v>1.66</v>
      </c>
      <c r="D85" s="3">
        <v>4.3</v>
      </c>
      <c r="E85" s="3">
        <v>5.0599999999999996</v>
      </c>
      <c r="G85" s="3">
        <v>2.17</v>
      </c>
      <c r="H85" s="3">
        <v>2.62</v>
      </c>
      <c r="I85" s="3">
        <v>4.92</v>
      </c>
      <c r="K85" s="3">
        <v>2.0499999999999998</v>
      </c>
      <c r="L85" s="3">
        <v>3.08</v>
      </c>
      <c r="M85" s="3">
        <v>4.28</v>
      </c>
    </row>
    <row r="86" spans="1:13">
      <c r="A86" t="s">
        <v>16</v>
      </c>
      <c r="C86" s="3">
        <f>C85/C84</f>
        <v>1.017156862745098</v>
      </c>
      <c r="D86" s="3">
        <f>D85/D84</f>
        <v>1.1068211068211069</v>
      </c>
      <c r="E86" s="3">
        <f>E85/E84</f>
        <v>0.65868263473053879</v>
      </c>
      <c r="G86" s="3">
        <f>G85/G84</f>
        <v>1.1168296448790529</v>
      </c>
      <c r="H86" s="3">
        <f>H85/H84</f>
        <v>0.57990261177512181</v>
      </c>
      <c r="I86" s="3">
        <f>I85/I84</f>
        <v>1.2995245641838351</v>
      </c>
      <c r="K86" s="3">
        <f>K85/K84</f>
        <v>1.1680911680911681</v>
      </c>
      <c r="L86" s="3">
        <f>L85/L84</f>
        <v>1.0639032815198619</v>
      </c>
      <c r="M86" s="3">
        <f>M85/M84</f>
        <v>0.36348195329087052</v>
      </c>
    </row>
    <row r="87" spans="1:13">
      <c r="A87" t="s">
        <v>17</v>
      </c>
      <c r="C87" s="3">
        <v>0</v>
      </c>
      <c r="D87" s="3">
        <v>1</v>
      </c>
      <c r="E87" s="3">
        <v>0</v>
      </c>
      <c r="G87" s="3">
        <v>0</v>
      </c>
      <c r="H87" s="3">
        <v>0</v>
      </c>
      <c r="I87" s="3">
        <v>1</v>
      </c>
      <c r="K87" s="3">
        <v>1</v>
      </c>
      <c r="L87" s="3">
        <v>0</v>
      </c>
      <c r="M87" s="3">
        <v>0</v>
      </c>
    </row>
    <row r="88" spans="1:13">
      <c r="A88" t="s">
        <v>18</v>
      </c>
      <c r="C88" s="3">
        <v>0</v>
      </c>
      <c r="D88" s="3">
        <v>0</v>
      </c>
      <c r="E88" s="3">
        <v>1</v>
      </c>
      <c r="G88" s="3">
        <v>0</v>
      </c>
      <c r="H88" s="3">
        <v>0</v>
      </c>
      <c r="I88" s="3">
        <v>1</v>
      </c>
      <c r="K88" s="3">
        <v>0</v>
      </c>
      <c r="L88" s="3">
        <v>1</v>
      </c>
      <c r="M88" s="3">
        <v>0</v>
      </c>
    </row>
    <row r="89" spans="1:13">
      <c r="A89" t="s">
        <v>19</v>
      </c>
      <c r="C89" s="3">
        <f>C85*C88*C87-C87</f>
        <v>0</v>
      </c>
      <c r="D89" s="3">
        <f>D85*D88*D87-D87</f>
        <v>-1</v>
      </c>
      <c r="E89" s="3">
        <f>E85*E88*E87-E87</f>
        <v>0</v>
      </c>
      <c r="G89" s="3">
        <f>G85*G88*G87-G87</f>
        <v>0</v>
      </c>
      <c r="H89" s="3">
        <f>H85*H88*H87-H87</f>
        <v>0</v>
      </c>
      <c r="I89" s="3">
        <f>I85*I88*I87-I87</f>
        <v>3.92</v>
      </c>
      <c r="K89" s="3">
        <f>K85*K88*K87-K87</f>
        <v>-1</v>
      </c>
      <c r="L89" s="3">
        <f>L85*L88*L87-L87</f>
        <v>0</v>
      </c>
      <c r="M89" s="3">
        <f>M85*M88*M87-M87</f>
        <v>0</v>
      </c>
    </row>
    <row r="91" spans="1:13">
      <c r="A91" s="1" t="s">
        <v>26</v>
      </c>
      <c r="C91" s="1" t="s">
        <v>1</v>
      </c>
      <c r="E91" s="1">
        <f>0+C98+D98+E98 + E82</f>
        <v>-4.2800000000000011</v>
      </c>
      <c r="G91" s="1" t="s">
        <v>2</v>
      </c>
      <c r="I91" s="1">
        <f>0+G98+H98+I98 + I82</f>
        <v>5.4399999999999995</v>
      </c>
      <c r="K91" s="1" t="s">
        <v>3</v>
      </c>
      <c r="M91" s="1">
        <f>0+K98+L98+M98 + M82</f>
        <v>8.9999999999999414E-2</v>
      </c>
    </row>
    <row r="92" spans="1:13">
      <c r="A92" t="s">
        <v>30</v>
      </c>
      <c r="C92" s="2" t="s">
        <v>5</v>
      </c>
      <c r="D92" s="2" t="s">
        <v>6</v>
      </c>
      <c r="E92" s="2" t="s">
        <v>7</v>
      </c>
      <c r="G92" s="2" t="s">
        <v>8</v>
      </c>
      <c r="H92" s="2" t="s">
        <v>9</v>
      </c>
      <c r="I92" s="2" t="s">
        <v>10</v>
      </c>
      <c r="K92" s="2" t="s">
        <v>11</v>
      </c>
      <c r="L92" s="2" t="s">
        <v>12</v>
      </c>
      <c r="M92" s="2" t="s">
        <v>13</v>
      </c>
    </row>
    <row r="93" spans="1:13">
      <c r="A93" t="s">
        <v>14</v>
      </c>
      <c r="C93" s="3">
        <v>3.5179999999999998</v>
      </c>
      <c r="D93" s="3">
        <v>3.589</v>
      </c>
      <c r="E93" s="3">
        <v>2.2869999999999999</v>
      </c>
      <c r="G93" s="3">
        <v>5.359</v>
      </c>
      <c r="H93" s="3">
        <v>2.0790000000000002</v>
      </c>
      <c r="I93" s="3">
        <v>3.0070000000000001</v>
      </c>
      <c r="K93" s="3">
        <v>2.694</v>
      </c>
      <c r="L93" s="3">
        <v>6.6210000000000004</v>
      </c>
      <c r="M93" s="3">
        <v>2.0920000000000001</v>
      </c>
    </row>
    <row r="94" spans="1:13">
      <c r="A94" t="s">
        <v>15</v>
      </c>
      <c r="C94" s="3">
        <v>2.94</v>
      </c>
      <c r="D94" s="3">
        <v>3.39</v>
      </c>
      <c r="E94" s="3">
        <v>2.5299999999999998</v>
      </c>
      <c r="G94" s="3">
        <v>3.52</v>
      </c>
      <c r="H94" s="3">
        <v>2.17</v>
      </c>
      <c r="I94" s="3">
        <v>3.31</v>
      </c>
      <c r="K94" s="3">
        <v>3.05</v>
      </c>
      <c r="L94" s="3">
        <v>2.66</v>
      </c>
      <c r="M94" s="3">
        <v>2.94</v>
      </c>
    </row>
    <row r="95" spans="1:13">
      <c r="A95" t="s">
        <v>16</v>
      </c>
      <c r="C95" s="3">
        <f>C94/C93</f>
        <v>0.83570210346787954</v>
      </c>
      <c r="D95" s="3">
        <f>D94/D93</f>
        <v>0.94455280022290333</v>
      </c>
      <c r="E95" s="3">
        <f>E94/E93</f>
        <v>1.1062527328377787</v>
      </c>
      <c r="G95" s="3">
        <f>G94/G93</f>
        <v>0.65683896249300244</v>
      </c>
      <c r="H95" s="3">
        <f>H94/H93</f>
        <v>1.0437710437710437</v>
      </c>
      <c r="I95" s="3">
        <f>I94/I93</f>
        <v>1.100764881942135</v>
      </c>
      <c r="K95" s="3">
        <f>K94/K93</f>
        <v>1.1321455085374907</v>
      </c>
      <c r="L95" s="3">
        <f>L94/L93</f>
        <v>0.4017520012082767</v>
      </c>
      <c r="M95" s="3">
        <f>M94/M93</f>
        <v>1.4053537284894837</v>
      </c>
    </row>
    <row r="96" spans="1:13">
      <c r="A96" t="s">
        <v>17</v>
      </c>
      <c r="C96" s="3">
        <v>0</v>
      </c>
      <c r="D96" s="3">
        <v>0</v>
      </c>
      <c r="E96" s="3">
        <v>1</v>
      </c>
      <c r="G96" s="3">
        <v>0</v>
      </c>
      <c r="H96" s="3">
        <v>0</v>
      </c>
      <c r="I96" s="3">
        <v>1</v>
      </c>
      <c r="K96" s="3">
        <v>0</v>
      </c>
      <c r="L96" s="3">
        <v>0</v>
      </c>
      <c r="M96" s="3">
        <v>1</v>
      </c>
    </row>
    <row r="97" spans="1:13">
      <c r="A97" t="s">
        <v>18</v>
      </c>
      <c r="C97" s="3">
        <v>0</v>
      </c>
      <c r="D97" s="3">
        <v>0</v>
      </c>
      <c r="E97" s="3">
        <v>1</v>
      </c>
      <c r="G97" s="3">
        <v>0</v>
      </c>
      <c r="H97" s="3">
        <v>0</v>
      </c>
      <c r="I97" s="3">
        <v>1</v>
      </c>
      <c r="K97" s="3">
        <v>0</v>
      </c>
      <c r="L97" s="3">
        <v>1</v>
      </c>
      <c r="M97" s="3">
        <v>0</v>
      </c>
    </row>
    <row r="98" spans="1:13">
      <c r="A98" t="s">
        <v>19</v>
      </c>
      <c r="C98" s="3">
        <f>C94*C97*C96-C96</f>
        <v>0</v>
      </c>
      <c r="D98" s="3">
        <f>D94*D97*D96-D96</f>
        <v>0</v>
      </c>
      <c r="E98" s="3">
        <f>E94*E97*E96-E96</f>
        <v>1.5299999999999998</v>
      </c>
      <c r="G98" s="3">
        <f>G94*G97*G96-G96</f>
        <v>0</v>
      </c>
      <c r="H98" s="3">
        <f>H94*H97*H96-H96</f>
        <v>0</v>
      </c>
      <c r="I98" s="3">
        <f>I94*I97*I96-I96</f>
        <v>2.31</v>
      </c>
      <c r="K98" s="3">
        <f>K94*K97*K96-K96</f>
        <v>0</v>
      </c>
      <c r="L98" s="3">
        <f>L94*L97*L96-L96</f>
        <v>0</v>
      </c>
      <c r="M98" s="3">
        <f>M94*M97*M96-M96</f>
        <v>-1</v>
      </c>
    </row>
    <row r="100" spans="1:13">
      <c r="A100" s="1" t="s">
        <v>26</v>
      </c>
      <c r="C100" s="1" t="s">
        <v>1</v>
      </c>
      <c r="E100" s="1">
        <f>0+C107+D107+E107 + E91</f>
        <v>-5.2800000000000011</v>
      </c>
      <c r="G100" s="1" t="s">
        <v>2</v>
      </c>
      <c r="I100" s="1">
        <f>0+G107+H107+I107 + I91</f>
        <v>4.4399999999999995</v>
      </c>
      <c r="K100" s="1" t="s">
        <v>3</v>
      </c>
      <c r="M100" s="1">
        <f>0+K107+L107+M107 + M91</f>
        <v>-0.91000000000000059</v>
      </c>
    </row>
    <row r="101" spans="1:13">
      <c r="A101" t="s">
        <v>31</v>
      </c>
      <c r="C101" s="2" t="s">
        <v>5</v>
      </c>
      <c r="D101" s="2" t="s">
        <v>6</v>
      </c>
      <c r="E101" s="2" t="s">
        <v>7</v>
      </c>
      <c r="G101" s="2" t="s">
        <v>8</v>
      </c>
      <c r="H101" s="2" t="s">
        <v>9</v>
      </c>
      <c r="I101" s="2" t="s">
        <v>10</v>
      </c>
      <c r="K101" s="2" t="s">
        <v>11</v>
      </c>
      <c r="L101" s="2" t="s">
        <v>12</v>
      </c>
      <c r="M101" s="2" t="s">
        <v>13</v>
      </c>
    </row>
    <row r="102" spans="1:13">
      <c r="A102" t="s">
        <v>14</v>
      </c>
      <c r="C102" s="3">
        <v>4.1680000000000001</v>
      </c>
      <c r="D102" s="3">
        <v>4.0789999999999997</v>
      </c>
      <c r="E102" s="3">
        <v>1.9410000000000001</v>
      </c>
      <c r="G102" s="3">
        <v>4.375</v>
      </c>
      <c r="H102" s="3">
        <v>3.6749999999999998</v>
      </c>
      <c r="I102" s="3">
        <v>2.0019999999999998</v>
      </c>
      <c r="K102" s="3">
        <v>5.6849999999999996</v>
      </c>
      <c r="L102" s="3">
        <v>2.9369999999999998</v>
      </c>
      <c r="M102" s="3">
        <v>2.0670000000000002</v>
      </c>
    </row>
    <row r="103" spans="1:13">
      <c r="A103" t="s">
        <v>15</v>
      </c>
      <c r="C103" s="3">
        <v>3</v>
      </c>
      <c r="D103" s="3">
        <v>3.59</v>
      </c>
      <c r="E103" s="3">
        <v>2.48</v>
      </c>
      <c r="G103" s="3">
        <v>3.48</v>
      </c>
      <c r="H103" s="3">
        <v>2.17</v>
      </c>
      <c r="I103" s="3">
        <v>2.95</v>
      </c>
      <c r="K103" s="3">
        <v>3.13</v>
      </c>
      <c r="L103" s="3">
        <v>2.58</v>
      </c>
      <c r="M103" s="3">
        <v>2.64</v>
      </c>
    </row>
    <row r="104" spans="1:13">
      <c r="A104" t="s">
        <v>16</v>
      </c>
      <c r="C104" s="3">
        <f>C103/C102</f>
        <v>0.71976967370441458</v>
      </c>
      <c r="D104" s="3">
        <f>D103/D102</f>
        <v>0.88011767590095613</v>
      </c>
      <c r="E104" s="3">
        <f>E103/E102</f>
        <v>1.2776919113858836</v>
      </c>
      <c r="G104" s="3">
        <f>G103/G102</f>
        <v>0.79542857142857137</v>
      </c>
      <c r="H104" s="3">
        <f>H103/H102</f>
        <v>0.59047619047619049</v>
      </c>
      <c r="I104" s="3">
        <f>I103/I102</f>
        <v>1.4735264735264737</v>
      </c>
      <c r="K104" s="3">
        <f>K103/K102</f>
        <v>0.5505716798592788</v>
      </c>
      <c r="L104" s="3">
        <f>L103/L102</f>
        <v>0.87844739530132798</v>
      </c>
      <c r="M104" s="3">
        <f>M103/M102</f>
        <v>1.2772133526850507</v>
      </c>
    </row>
    <row r="105" spans="1:13">
      <c r="A105" t="s">
        <v>17</v>
      </c>
      <c r="C105" s="3">
        <v>0</v>
      </c>
      <c r="D105" s="3">
        <v>0</v>
      </c>
      <c r="E105" s="3">
        <v>1</v>
      </c>
      <c r="G105" s="3">
        <v>0</v>
      </c>
      <c r="H105" s="3">
        <v>0</v>
      </c>
      <c r="I105" s="3">
        <v>1</v>
      </c>
      <c r="K105" s="3">
        <v>0</v>
      </c>
      <c r="L105" s="3">
        <v>0</v>
      </c>
      <c r="M105" s="3">
        <v>1</v>
      </c>
    </row>
    <row r="106" spans="1:13">
      <c r="A106" t="s">
        <v>18</v>
      </c>
      <c r="C106" s="3">
        <v>0</v>
      </c>
      <c r="D106" s="3">
        <v>1</v>
      </c>
      <c r="E106" s="3">
        <v>0</v>
      </c>
      <c r="G106" s="3">
        <v>0</v>
      </c>
      <c r="H106" s="3">
        <v>1</v>
      </c>
      <c r="I106" s="3">
        <v>0</v>
      </c>
      <c r="K106" s="3">
        <v>0</v>
      </c>
      <c r="L106" s="3">
        <v>1</v>
      </c>
      <c r="M106" s="3">
        <v>0</v>
      </c>
    </row>
    <row r="107" spans="1:13">
      <c r="A107" t="s">
        <v>19</v>
      </c>
      <c r="C107" s="3">
        <f>C103*C106*C105-C105</f>
        <v>0</v>
      </c>
      <c r="D107" s="3">
        <f>D103*D106*D105-D105</f>
        <v>0</v>
      </c>
      <c r="E107" s="3">
        <f>E103*E106*E105-E105</f>
        <v>-1</v>
      </c>
      <c r="G107" s="3">
        <f>G103*G106*G105-G105</f>
        <v>0</v>
      </c>
      <c r="H107" s="3">
        <f>H103*H106*H105-H105</f>
        <v>0</v>
      </c>
      <c r="I107" s="3">
        <f>I103*I106*I105-I105</f>
        <v>-1</v>
      </c>
      <c r="K107" s="3">
        <f>K103*K106*K105-K105</f>
        <v>0</v>
      </c>
      <c r="L107" s="3">
        <f>L103*L106*L105-L105</f>
        <v>0</v>
      </c>
      <c r="M107" s="3">
        <f>M103*M106*M105-M105</f>
        <v>-1</v>
      </c>
    </row>
    <row r="109" spans="1:13">
      <c r="A109" s="1" t="s">
        <v>26</v>
      </c>
      <c r="C109" s="1" t="s">
        <v>1</v>
      </c>
      <c r="E109" s="1">
        <f>0+C116+D116+E116 + E100</f>
        <v>-6.2800000000000011</v>
      </c>
      <c r="G109" s="1" t="s">
        <v>2</v>
      </c>
      <c r="I109" s="1">
        <f>0+G116+H116+I116 + I100</f>
        <v>3.4399999999999995</v>
      </c>
      <c r="K109" s="1" t="s">
        <v>3</v>
      </c>
      <c r="M109" s="1">
        <f>0+K116+L116+M116 + M100</f>
        <v>1.0199999999999996</v>
      </c>
    </row>
    <row r="110" spans="1:13">
      <c r="A110" t="s">
        <v>32</v>
      </c>
      <c r="C110" s="2" t="s">
        <v>5</v>
      </c>
      <c r="D110" s="2" t="s">
        <v>6</v>
      </c>
      <c r="E110" s="2" t="s">
        <v>7</v>
      </c>
      <c r="G110" s="2" t="s">
        <v>8</v>
      </c>
      <c r="H110" s="2" t="s">
        <v>9</v>
      </c>
      <c r="I110" s="2" t="s">
        <v>10</v>
      </c>
      <c r="K110" s="2" t="s">
        <v>11</v>
      </c>
      <c r="L110" s="2" t="s">
        <v>12</v>
      </c>
      <c r="M110" s="2" t="s">
        <v>13</v>
      </c>
    </row>
    <row r="111" spans="1:13">
      <c r="A111" t="s">
        <v>14</v>
      </c>
      <c r="C111" s="3">
        <v>1.75</v>
      </c>
      <c r="D111" s="3">
        <v>5.34</v>
      </c>
      <c r="E111" s="3">
        <v>4.1390000000000002</v>
      </c>
      <c r="G111" s="3">
        <v>3.21</v>
      </c>
      <c r="H111" s="3">
        <v>8.1050000000000004</v>
      </c>
      <c r="I111" s="3">
        <v>1.7689999999999999</v>
      </c>
      <c r="K111" s="3">
        <v>3.2519999999999998</v>
      </c>
      <c r="L111" s="3">
        <v>1.5389999999999999</v>
      </c>
      <c r="M111" s="3">
        <v>23.152999999999999</v>
      </c>
    </row>
    <row r="112" spans="1:13">
      <c r="A112" t="s">
        <v>15</v>
      </c>
      <c r="C112" s="3">
        <v>2.0499999999999998</v>
      </c>
      <c r="D112" s="3">
        <v>3.69</v>
      </c>
      <c r="E112" s="3">
        <v>3.69</v>
      </c>
      <c r="G112" s="3">
        <v>2.63</v>
      </c>
      <c r="H112" s="3">
        <v>2.38</v>
      </c>
      <c r="I112" s="3">
        <v>4.05</v>
      </c>
      <c r="K112" s="3">
        <v>2.4</v>
      </c>
      <c r="L112" s="3">
        <v>2.93</v>
      </c>
      <c r="M112" s="3">
        <v>3.46</v>
      </c>
    </row>
    <row r="113" spans="1:14">
      <c r="A113" t="s">
        <v>16</v>
      </c>
      <c r="C113" s="3">
        <f>C112/C111</f>
        <v>1.1714285714285713</v>
      </c>
      <c r="D113" s="3">
        <f>D112/D111</f>
        <v>0.6910112359550562</v>
      </c>
      <c r="E113" s="3">
        <f>E112/E111</f>
        <v>0.89151969074655713</v>
      </c>
      <c r="G113" s="3">
        <f>G112/G111</f>
        <v>0.81931464174454827</v>
      </c>
      <c r="H113" s="3">
        <f>H112/H111</f>
        <v>0.29364589759407772</v>
      </c>
      <c r="I113" s="3">
        <f>I112/I111</f>
        <v>2.2894290559638213</v>
      </c>
      <c r="K113" s="3">
        <f>K112/K111</f>
        <v>0.73800738007380073</v>
      </c>
      <c r="L113" s="3">
        <f>L112/L111</f>
        <v>1.9038336582196234</v>
      </c>
      <c r="M113" s="3">
        <f>M112/M111</f>
        <v>0.14944067723405174</v>
      </c>
    </row>
    <row r="114" spans="1:14">
      <c r="A114" t="s">
        <v>17</v>
      </c>
      <c r="C114" s="3">
        <v>1</v>
      </c>
      <c r="D114" s="3">
        <v>0</v>
      </c>
      <c r="E114" s="3">
        <v>0</v>
      </c>
      <c r="G114" s="3">
        <v>0</v>
      </c>
      <c r="H114" s="3">
        <v>0</v>
      </c>
      <c r="I114" s="3">
        <v>1</v>
      </c>
      <c r="K114" s="3">
        <v>0</v>
      </c>
      <c r="L114" s="3">
        <v>1</v>
      </c>
      <c r="M114" s="3">
        <v>0</v>
      </c>
    </row>
    <row r="115" spans="1:14">
      <c r="A115" t="s">
        <v>18</v>
      </c>
      <c r="C115" s="3">
        <v>0</v>
      </c>
      <c r="D115" s="3">
        <v>1</v>
      </c>
      <c r="E115" s="3">
        <v>0</v>
      </c>
      <c r="G115" s="3">
        <v>0</v>
      </c>
      <c r="H115" s="3">
        <v>1</v>
      </c>
      <c r="I115" s="3">
        <v>0</v>
      </c>
      <c r="K115" s="3">
        <v>0</v>
      </c>
      <c r="L115" s="3">
        <v>1</v>
      </c>
      <c r="M115" s="3">
        <v>0</v>
      </c>
    </row>
    <row r="116" spans="1:14">
      <c r="A116" t="s">
        <v>19</v>
      </c>
      <c r="C116" s="3">
        <f>C112*C115*C114-C114</f>
        <v>-1</v>
      </c>
      <c r="D116" s="3">
        <f>D112*D115*D114-D114</f>
        <v>0</v>
      </c>
      <c r="E116" s="3">
        <f>E112*E115*E114-E114</f>
        <v>0</v>
      </c>
      <c r="G116" s="3">
        <f>G112*G115*G114-G114</f>
        <v>0</v>
      </c>
      <c r="H116" s="3">
        <f>H112*H115*H114-H114</f>
        <v>0</v>
      </c>
      <c r="I116" s="3">
        <f>I112*I115*I114-I114</f>
        <v>-1</v>
      </c>
      <c r="K116" s="3">
        <f>K112*K115*K114-K114</f>
        <v>0</v>
      </c>
      <c r="L116" s="3">
        <f>L112*L115*L114-L114</f>
        <v>1.9300000000000002</v>
      </c>
      <c r="M116" s="3">
        <f>M112*M115*M114-M114</f>
        <v>0</v>
      </c>
    </row>
    <row r="118" spans="1:14">
      <c r="A118" s="1" t="s">
        <v>26</v>
      </c>
      <c r="C118" s="1" t="s">
        <v>1</v>
      </c>
      <c r="E118" s="1">
        <f>0+C125+D125+E125 + E109</f>
        <v>-7.2800000000000011</v>
      </c>
      <c r="G118" s="1" t="s">
        <v>2</v>
      </c>
      <c r="I118" s="1">
        <f>0+G125+H125+I125 + I109</f>
        <v>2.4399999999999995</v>
      </c>
      <c r="K118" s="1" t="s">
        <v>3</v>
      </c>
      <c r="M118" s="1">
        <f>0+K125+L125+M125 + M109</f>
        <v>1.9999999999999574E-2</v>
      </c>
      <c r="N118">
        <f>E118+I118+M118-N55</f>
        <v>-4.5300000000000011</v>
      </c>
    </row>
    <row r="119" spans="1:14">
      <c r="A119" t="s">
        <v>33</v>
      </c>
      <c r="C119" s="2" t="s">
        <v>5</v>
      </c>
      <c r="D119" s="2" t="s">
        <v>6</v>
      </c>
      <c r="E119" s="2" t="s">
        <v>7</v>
      </c>
      <c r="G119" s="2" t="s">
        <v>8</v>
      </c>
      <c r="H119" s="2" t="s">
        <v>9</v>
      </c>
      <c r="I119" s="2" t="s">
        <v>10</v>
      </c>
      <c r="K119" s="2" t="s">
        <v>11</v>
      </c>
      <c r="L119" s="2" t="s">
        <v>12</v>
      </c>
      <c r="M119" s="2" t="s">
        <v>13</v>
      </c>
    </row>
    <row r="120" spans="1:14">
      <c r="A120" t="s">
        <v>14</v>
      </c>
      <c r="C120" s="3">
        <v>1.33</v>
      </c>
      <c r="D120" s="3">
        <v>4.7430000000000003</v>
      </c>
      <c r="E120" s="3">
        <v>26.588999999999999</v>
      </c>
      <c r="G120" s="3">
        <v>1.45</v>
      </c>
      <c r="H120" s="3">
        <v>5.2690000000000001</v>
      </c>
      <c r="I120" s="3">
        <v>8.2910000000000004</v>
      </c>
      <c r="K120" s="3">
        <v>1.502</v>
      </c>
      <c r="L120" s="3">
        <v>8.048</v>
      </c>
      <c r="M120" s="3">
        <v>4.7530000000000001</v>
      </c>
    </row>
    <row r="121" spans="1:14">
      <c r="A121" t="s">
        <v>15</v>
      </c>
      <c r="C121" s="3">
        <v>1.1599999999999999</v>
      </c>
      <c r="D121" s="3">
        <v>10.1</v>
      </c>
      <c r="E121" s="3">
        <v>14.4</v>
      </c>
      <c r="G121" s="3">
        <v>1.5</v>
      </c>
      <c r="H121" s="3">
        <v>3.53</v>
      </c>
      <c r="I121" s="3">
        <v>10.4</v>
      </c>
      <c r="K121" s="3">
        <v>1.34</v>
      </c>
      <c r="L121" s="3">
        <v>4.8099999999999996</v>
      </c>
      <c r="M121" s="3">
        <v>11</v>
      </c>
    </row>
    <row r="122" spans="1:14">
      <c r="A122" t="s">
        <v>16</v>
      </c>
      <c r="C122" s="3">
        <f>C121/C120</f>
        <v>0.87218045112781939</v>
      </c>
      <c r="D122" s="3">
        <f>D121/D120</f>
        <v>2.1294539321104784</v>
      </c>
      <c r="E122" s="3">
        <f>E121/E120</f>
        <v>0.54157734401444213</v>
      </c>
      <c r="G122" s="3">
        <f>G121/G120</f>
        <v>1.0344827586206897</v>
      </c>
      <c r="H122" s="3">
        <f>H121/H120</f>
        <v>0.66995634845321683</v>
      </c>
      <c r="I122" s="3">
        <f>I121/I120</f>
        <v>1.2543722108310216</v>
      </c>
      <c r="K122" s="3">
        <f>K121/K120</f>
        <v>0.8921438082556592</v>
      </c>
      <c r="L122" s="3">
        <f>L121/L120</f>
        <v>0.59766401590457252</v>
      </c>
      <c r="M122" s="3">
        <f>M121/M120</f>
        <v>2.3143277929728594</v>
      </c>
    </row>
    <row r="123" spans="1:14">
      <c r="A123" t="s">
        <v>17</v>
      </c>
      <c r="C123" s="3">
        <v>0</v>
      </c>
      <c r="D123" s="3">
        <v>1</v>
      </c>
      <c r="E123" s="3">
        <v>0</v>
      </c>
      <c r="G123" s="3">
        <v>0</v>
      </c>
      <c r="H123" s="3">
        <v>0</v>
      </c>
      <c r="I123" s="3">
        <v>1</v>
      </c>
      <c r="K123" s="3">
        <v>0</v>
      </c>
      <c r="L123" s="3">
        <v>0</v>
      </c>
      <c r="M123" s="3">
        <v>1</v>
      </c>
    </row>
    <row r="124" spans="1:14">
      <c r="A124" t="s">
        <v>18</v>
      </c>
      <c r="C124" s="3">
        <v>1</v>
      </c>
      <c r="D124" s="3">
        <v>0</v>
      </c>
      <c r="E124" s="3">
        <v>0</v>
      </c>
      <c r="G124" s="3">
        <v>1</v>
      </c>
      <c r="H124" s="3">
        <v>0</v>
      </c>
      <c r="I124" s="3">
        <v>0</v>
      </c>
      <c r="K124" s="3">
        <v>0</v>
      </c>
      <c r="L124" s="3">
        <v>1</v>
      </c>
      <c r="M124" s="3">
        <v>0</v>
      </c>
    </row>
    <row r="125" spans="1:14">
      <c r="A125" t="s">
        <v>19</v>
      </c>
      <c r="C125" s="3">
        <f>C121*C124*C123-C123</f>
        <v>0</v>
      </c>
      <c r="D125" s="3">
        <f>D121*D124*D123-D123</f>
        <v>-1</v>
      </c>
      <c r="E125" s="3">
        <f>E121*E124*E123-E123</f>
        <v>0</v>
      </c>
      <c r="G125" s="3">
        <f>G121*G124*G123-G123</f>
        <v>0</v>
      </c>
      <c r="H125" s="3">
        <f>H121*H124*H123-H123</f>
        <v>0</v>
      </c>
      <c r="I125" s="3">
        <f>I121*I124*I123-I123</f>
        <v>-1</v>
      </c>
      <c r="K125" s="3">
        <f>K121*K124*K123-K123</f>
        <v>0</v>
      </c>
      <c r="L125" s="3">
        <f>L121*L124*L123-L123</f>
        <v>0</v>
      </c>
      <c r="M125" s="3">
        <f>M121*M124*M123-M123</f>
        <v>-1</v>
      </c>
    </row>
    <row r="127" spans="1:14">
      <c r="A127" s="1" t="s">
        <v>34</v>
      </c>
      <c r="C127" s="1" t="s">
        <v>1</v>
      </c>
      <c r="E127" s="1">
        <f>0+C134+D134+E134 + E118</f>
        <v>-4.9400000000000013</v>
      </c>
      <c r="G127" s="1" t="s">
        <v>2</v>
      </c>
      <c r="I127" s="1">
        <f>0+G134+H134+I134 + I118</f>
        <v>1.4399999999999995</v>
      </c>
      <c r="K127" s="1" t="s">
        <v>3</v>
      </c>
      <c r="M127" s="1">
        <f>0+K134+L134+M134 + M118</f>
        <v>-0.98000000000000043</v>
      </c>
    </row>
    <row r="128" spans="1:14">
      <c r="A128" t="s">
        <v>35</v>
      </c>
      <c r="C128" s="2" t="s">
        <v>5</v>
      </c>
      <c r="D128" s="2" t="s">
        <v>6</v>
      </c>
      <c r="E128" s="2" t="s">
        <v>7</v>
      </c>
      <c r="G128" s="2" t="s">
        <v>8</v>
      </c>
      <c r="H128" s="2" t="s">
        <v>9</v>
      </c>
      <c r="I128" s="2" t="s">
        <v>10</v>
      </c>
      <c r="K128" s="2" t="s">
        <v>11</v>
      </c>
      <c r="L128" s="2" t="s">
        <v>12</v>
      </c>
      <c r="M128" s="2" t="s">
        <v>13</v>
      </c>
    </row>
    <row r="129" spans="1:13">
      <c r="A129" t="s">
        <v>14</v>
      </c>
      <c r="C129" s="3">
        <v>3.9079999999999999</v>
      </c>
      <c r="D129" s="3">
        <v>3.0049999999999999</v>
      </c>
      <c r="E129" s="3">
        <v>2.4300000000000002</v>
      </c>
      <c r="G129" s="3">
        <v>2.3980000000000001</v>
      </c>
      <c r="H129" s="3">
        <v>2.5529999999999999</v>
      </c>
      <c r="I129" s="3">
        <v>5.2210000000000001</v>
      </c>
      <c r="K129" s="3">
        <v>5.2750000000000004</v>
      </c>
      <c r="L129" s="3">
        <v>2.23</v>
      </c>
      <c r="M129" s="3">
        <v>2.7610000000000001</v>
      </c>
    </row>
    <row r="130" spans="1:13">
      <c r="A130" t="s">
        <v>15</v>
      </c>
      <c r="C130" s="3">
        <v>2.46</v>
      </c>
      <c r="D130" s="3">
        <v>3.08</v>
      </c>
      <c r="E130" s="3">
        <v>3.34</v>
      </c>
      <c r="G130" s="3">
        <v>3.15</v>
      </c>
      <c r="H130" s="3">
        <v>2.09</v>
      </c>
      <c r="I130" s="3">
        <v>3.98</v>
      </c>
      <c r="K130" s="3">
        <v>2.82</v>
      </c>
      <c r="L130" s="3">
        <v>2.5499999999999998</v>
      </c>
      <c r="M130" s="3">
        <v>3.33</v>
      </c>
    </row>
    <row r="131" spans="1:13">
      <c r="A131" t="s">
        <v>16</v>
      </c>
      <c r="C131" s="3">
        <f>C130/C129</f>
        <v>0.62947799385875125</v>
      </c>
      <c r="D131" s="3">
        <f>D130/D129</f>
        <v>1.0249584026622296</v>
      </c>
      <c r="E131" s="3">
        <f>E130/E129</f>
        <v>1.3744855967078189</v>
      </c>
      <c r="G131" s="3">
        <f>G130/G129</f>
        <v>1.3135946622185153</v>
      </c>
      <c r="H131" s="3">
        <f>H130/H129</f>
        <v>0.81864473168820995</v>
      </c>
      <c r="I131" s="3">
        <f>I130/I129</f>
        <v>0.76230607163378661</v>
      </c>
      <c r="K131" s="3">
        <f>K130/K129</f>
        <v>0.53459715639810423</v>
      </c>
      <c r="L131" s="3">
        <f>L130/L129</f>
        <v>1.1434977578475336</v>
      </c>
      <c r="M131" s="3">
        <f>M130/M129</f>
        <v>1.206084751901485</v>
      </c>
    </row>
    <row r="132" spans="1:13">
      <c r="A132" t="s">
        <v>17</v>
      </c>
      <c r="C132" s="3">
        <v>0</v>
      </c>
      <c r="D132" s="3">
        <v>0</v>
      </c>
      <c r="E132" s="3">
        <v>1</v>
      </c>
      <c r="G132" s="3">
        <v>1</v>
      </c>
      <c r="H132" s="3">
        <v>0</v>
      </c>
      <c r="I132" s="3">
        <v>0</v>
      </c>
      <c r="K132" s="3">
        <v>0</v>
      </c>
      <c r="L132" s="3">
        <v>0</v>
      </c>
      <c r="M132" s="3">
        <v>1</v>
      </c>
    </row>
    <row r="133" spans="1:13">
      <c r="A133" t="s">
        <v>18</v>
      </c>
      <c r="C133" s="3">
        <v>0</v>
      </c>
      <c r="D133" s="3">
        <v>0</v>
      </c>
      <c r="E133" s="3">
        <v>1</v>
      </c>
      <c r="G133" s="3">
        <v>0</v>
      </c>
      <c r="H133" s="3">
        <v>0</v>
      </c>
      <c r="I133" s="3">
        <v>1</v>
      </c>
      <c r="K133" s="3">
        <v>0</v>
      </c>
      <c r="L133" s="3">
        <v>1</v>
      </c>
      <c r="M133" s="3">
        <v>0</v>
      </c>
    </row>
    <row r="134" spans="1:13">
      <c r="A134" t="s">
        <v>19</v>
      </c>
      <c r="C134" s="3">
        <f>C130*C133*C132-C132</f>
        <v>0</v>
      </c>
      <c r="D134" s="3">
        <f>D130*D133*D132-D132</f>
        <v>0</v>
      </c>
      <c r="E134" s="3">
        <f>E130*E133*E132-E132</f>
        <v>2.34</v>
      </c>
      <c r="G134" s="3">
        <f>G130*G133*G132-G132</f>
        <v>-1</v>
      </c>
      <c r="H134" s="3">
        <f>H130*H133*H132-H132</f>
        <v>0</v>
      </c>
      <c r="I134" s="3">
        <f>I130*I133*I132-I132</f>
        <v>0</v>
      </c>
      <c r="K134" s="3">
        <f>K130*K133*K132-K132</f>
        <v>0</v>
      </c>
      <c r="L134" s="3">
        <f>L130*L133*L132-L132</f>
        <v>0</v>
      </c>
      <c r="M134" s="3">
        <f>M130*M133*M132-M132</f>
        <v>-1</v>
      </c>
    </row>
    <row r="136" spans="1:13">
      <c r="A136" s="1" t="s">
        <v>34</v>
      </c>
      <c r="C136" s="1" t="s">
        <v>1</v>
      </c>
      <c r="E136" s="1">
        <f>0+C143+D143+E143 + E127</f>
        <v>-5.9400000000000013</v>
      </c>
      <c r="G136" s="1" t="s">
        <v>2</v>
      </c>
      <c r="I136" s="1">
        <f>0+G143+H143+I143 + I127</f>
        <v>2.6799999999999997</v>
      </c>
      <c r="K136" s="1" t="s">
        <v>3</v>
      </c>
      <c r="M136" s="1">
        <f>0+K143+L143+M143 + M127</f>
        <v>0.6599999999999997</v>
      </c>
    </row>
    <row r="137" spans="1:13">
      <c r="A137" t="s">
        <v>36</v>
      </c>
      <c r="C137" s="2" t="s">
        <v>5</v>
      </c>
      <c r="D137" s="2" t="s">
        <v>6</v>
      </c>
      <c r="E137" s="2" t="s">
        <v>7</v>
      </c>
      <c r="G137" s="2" t="s">
        <v>8</v>
      </c>
      <c r="H137" s="2" t="s">
        <v>9</v>
      </c>
      <c r="I137" s="2" t="s">
        <v>10</v>
      </c>
      <c r="K137" s="2" t="s">
        <v>11</v>
      </c>
      <c r="L137" s="2" t="s">
        <v>12</v>
      </c>
      <c r="M137" s="2" t="s">
        <v>13</v>
      </c>
    </row>
    <row r="138" spans="1:13">
      <c r="A138" t="s">
        <v>14</v>
      </c>
      <c r="C138" s="3">
        <v>1.421</v>
      </c>
      <c r="D138" s="3">
        <v>5.4569999999999999</v>
      </c>
      <c r="E138" s="3">
        <v>8.8350000000000009</v>
      </c>
      <c r="G138" s="3">
        <v>2.6760000000000002</v>
      </c>
      <c r="H138" s="3">
        <v>2.15</v>
      </c>
      <c r="I138" s="3">
        <v>6.1959999999999997</v>
      </c>
      <c r="K138" s="3">
        <v>2.4060000000000001</v>
      </c>
      <c r="L138" s="3">
        <v>2.121</v>
      </c>
      <c r="M138" s="3">
        <v>8.8420000000000005</v>
      </c>
    </row>
    <row r="139" spans="1:13">
      <c r="A139" t="s">
        <v>15</v>
      </c>
      <c r="C139" s="3">
        <v>1.6</v>
      </c>
      <c r="D139" s="3">
        <v>4.3</v>
      </c>
      <c r="E139" s="3">
        <v>6.42</v>
      </c>
      <c r="G139" s="3">
        <v>2.1</v>
      </c>
      <c r="H139" s="3">
        <v>2.2400000000000002</v>
      </c>
      <c r="I139" s="3">
        <v>6.05</v>
      </c>
      <c r="K139" s="3">
        <v>1.88</v>
      </c>
      <c r="L139" s="3">
        <v>2.64</v>
      </c>
      <c r="M139" s="3">
        <v>5.65</v>
      </c>
    </row>
    <row r="140" spans="1:13">
      <c r="A140" t="s">
        <v>16</v>
      </c>
      <c r="C140" s="3">
        <f>C139/C138</f>
        <v>1.1259676284306825</v>
      </c>
      <c r="D140" s="3">
        <f>D139/D138</f>
        <v>0.78797874289902881</v>
      </c>
      <c r="E140" s="3">
        <f>E139/E138</f>
        <v>0.72665534804753817</v>
      </c>
      <c r="G140" s="3">
        <f>G139/G138</f>
        <v>0.78475336322869949</v>
      </c>
      <c r="H140" s="3">
        <f>H139/H138</f>
        <v>1.0418604651162793</v>
      </c>
      <c r="I140" s="3">
        <f>I139/I138</f>
        <v>0.97643641058747577</v>
      </c>
      <c r="K140" s="3">
        <f>K139/K138</f>
        <v>0.78137988362427258</v>
      </c>
      <c r="L140" s="3">
        <f>L139/L138</f>
        <v>1.2446958981612448</v>
      </c>
      <c r="M140" s="3">
        <f>M139/M138</f>
        <v>0.63899570232978964</v>
      </c>
    </row>
    <row r="141" spans="1:13">
      <c r="A141" t="s">
        <v>17</v>
      </c>
      <c r="C141" s="3">
        <v>1</v>
      </c>
      <c r="D141" s="3">
        <v>0</v>
      </c>
      <c r="E141" s="3">
        <v>0</v>
      </c>
      <c r="G141" s="3">
        <v>0</v>
      </c>
      <c r="H141" s="3">
        <v>1</v>
      </c>
      <c r="I141" s="3">
        <v>0</v>
      </c>
      <c r="K141" s="3">
        <v>0</v>
      </c>
      <c r="L141" s="3">
        <v>1</v>
      </c>
      <c r="M141" s="3">
        <v>0</v>
      </c>
    </row>
    <row r="142" spans="1:13">
      <c r="A142" t="s">
        <v>18</v>
      </c>
      <c r="C142" s="3">
        <v>0</v>
      </c>
      <c r="D142" s="3">
        <v>1</v>
      </c>
      <c r="E142" s="3">
        <v>0</v>
      </c>
      <c r="G142" s="3">
        <v>0</v>
      </c>
      <c r="H142" s="3">
        <v>1</v>
      </c>
      <c r="I142" s="3">
        <v>0</v>
      </c>
      <c r="K142" s="3">
        <v>0</v>
      </c>
      <c r="L142" s="3">
        <v>1</v>
      </c>
      <c r="M142" s="3">
        <v>0</v>
      </c>
    </row>
    <row r="143" spans="1:13">
      <c r="A143" t="s">
        <v>19</v>
      </c>
      <c r="C143" s="3">
        <f>C139*C142*C141-C141</f>
        <v>-1</v>
      </c>
      <c r="D143" s="3">
        <f>D139*D142*D141-D141</f>
        <v>0</v>
      </c>
      <c r="E143" s="3">
        <f>E139*E142*E141-E141</f>
        <v>0</v>
      </c>
      <c r="G143" s="3">
        <f>G139*G142*G141-G141</f>
        <v>0</v>
      </c>
      <c r="H143" s="3">
        <f>H139*H142*H141-H141</f>
        <v>1.2400000000000002</v>
      </c>
      <c r="I143" s="3">
        <f>I139*I142*I141-I141</f>
        <v>0</v>
      </c>
      <c r="K143" s="3">
        <f>K139*K142*K141-K141</f>
        <v>0</v>
      </c>
      <c r="L143" s="3">
        <f>L139*L142*L141-L141</f>
        <v>1.6400000000000001</v>
      </c>
      <c r="M143" s="3">
        <f>M139*M142*M141-M141</f>
        <v>0</v>
      </c>
    </row>
    <row r="145" spans="1:13">
      <c r="A145" s="1" t="s">
        <v>34</v>
      </c>
      <c r="C145" s="1" t="s">
        <v>1</v>
      </c>
      <c r="E145" s="1">
        <f>0+C152+D152+E152 + E136</f>
        <v>-6.9400000000000013</v>
      </c>
      <c r="G145" s="1" t="s">
        <v>2</v>
      </c>
      <c r="I145" s="1">
        <f>0+G152+H152+I152 + I136</f>
        <v>1.6799999999999997</v>
      </c>
      <c r="K145" s="1" t="s">
        <v>3</v>
      </c>
      <c r="M145" s="1">
        <f>0+K152+L152+M152 + M136</f>
        <v>-0.3400000000000003</v>
      </c>
    </row>
    <row r="146" spans="1:13">
      <c r="A146" t="s">
        <v>37</v>
      </c>
      <c r="C146" s="2" t="s">
        <v>5</v>
      </c>
      <c r="D146" s="2" t="s">
        <v>6</v>
      </c>
      <c r="E146" s="2" t="s">
        <v>7</v>
      </c>
      <c r="G146" s="2" t="s">
        <v>8</v>
      </c>
      <c r="H146" s="2" t="s">
        <v>9</v>
      </c>
      <c r="I146" s="2" t="s">
        <v>10</v>
      </c>
      <c r="K146" s="2" t="s">
        <v>11</v>
      </c>
      <c r="L146" s="2" t="s">
        <v>12</v>
      </c>
      <c r="M146" s="2" t="s">
        <v>13</v>
      </c>
    </row>
    <row r="147" spans="1:13">
      <c r="A147" t="s">
        <v>14</v>
      </c>
      <c r="C147" s="3">
        <v>1.8120000000000001</v>
      </c>
      <c r="D147" s="3">
        <v>3.0609999999999999</v>
      </c>
      <c r="E147" s="3">
        <v>8.2210000000000001</v>
      </c>
      <c r="G147" s="3">
        <v>2.8050000000000002</v>
      </c>
      <c r="H147" s="3">
        <v>2.0579999999999998</v>
      </c>
      <c r="I147" s="3">
        <v>6.3419999999999996</v>
      </c>
      <c r="K147" s="3">
        <v>2.0579999999999998</v>
      </c>
      <c r="L147" s="3">
        <v>2.431</v>
      </c>
      <c r="M147" s="3">
        <v>9.7080000000000002</v>
      </c>
    </row>
    <row r="148" spans="1:13">
      <c r="A148" t="s">
        <v>15</v>
      </c>
      <c r="C148" s="3">
        <v>1.43</v>
      </c>
      <c r="D148" s="3">
        <v>4.87</v>
      </c>
      <c r="E148" s="3">
        <v>8.02</v>
      </c>
      <c r="G148" s="3">
        <v>1.95</v>
      </c>
      <c r="H148" s="3">
        <v>2.4900000000000002</v>
      </c>
      <c r="I148" s="3">
        <v>7.53</v>
      </c>
      <c r="K148" s="3">
        <v>1.8</v>
      </c>
      <c r="L148" s="3">
        <v>2.97</v>
      </c>
      <c r="M148" s="3">
        <v>6.48</v>
      </c>
    </row>
    <row r="149" spans="1:13">
      <c r="A149" t="s">
        <v>16</v>
      </c>
      <c r="C149" s="3">
        <f>C148/C147</f>
        <v>0.78918322295805732</v>
      </c>
      <c r="D149" s="3">
        <f>D148/D147</f>
        <v>1.5909833387781771</v>
      </c>
      <c r="E149" s="3">
        <f>E148/E147</f>
        <v>0.97555041965697598</v>
      </c>
      <c r="G149" s="3">
        <f>G148/G147</f>
        <v>0.69518716577540096</v>
      </c>
      <c r="H149" s="3">
        <f>H148/H147</f>
        <v>1.2099125364431489</v>
      </c>
      <c r="I149" s="3">
        <f>I148/I147</f>
        <v>1.1873226111636708</v>
      </c>
      <c r="K149" s="3">
        <f>K148/K147</f>
        <v>0.87463556851311963</v>
      </c>
      <c r="L149" s="3">
        <f>L148/L147</f>
        <v>1.2217194570135748</v>
      </c>
      <c r="M149" s="3">
        <f>M148/M147</f>
        <v>0.66749072929542652</v>
      </c>
    </row>
    <row r="150" spans="1:13">
      <c r="A150" t="s">
        <v>17</v>
      </c>
      <c r="C150" s="3">
        <v>0</v>
      </c>
      <c r="D150" s="3">
        <v>1</v>
      </c>
      <c r="E150" s="3">
        <v>0</v>
      </c>
      <c r="G150" s="3">
        <v>0</v>
      </c>
      <c r="H150" s="3">
        <v>1</v>
      </c>
      <c r="I150" s="3">
        <v>0</v>
      </c>
      <c r="K150" s="3">
        <v>0</v>
      </c>
      <c r="L150" s="3">
        <v>1</v>
      </c>
      <c r="M150" s="3">
        <v>0</v>
      </c>
    </row>
    <row r="151" spans="1:13">
      <c r="A151" t="s">
        <v>18</v>
      </c>
      <c r="C151" s="3">
        <v>1</v>
      </c>
      <c r="D151" s="3">
        <v>0</v>
      </c>
      <c r="E151" s="3">
        <v>0</v>
      </c>
      <c r="G151" s="3">
        <v>0</v>
      </c>
      <c r="H151" s="3">
        <v>0</v>
      </c>
      <c r="I151" s="3">
        <v>1</v>
      </c>
      <c r="K151" s="3">
        <v>1</v>
      </c>
      <c r="L151" s="3">
        <v>0</v>
      </c>
      <c r="M151" s="3">
        <v>0</v>
      </c>
    </row>
    <row r="152" spans="1:13">
      <c r="A152" t="s">
        <v>19</v>
      </c>
      <c r="C152" s="3">
        <f>C148*C151*C150-C150</f>
        <v>0</v>
      </c>
      <c r="D152" s="3">
        <f>D148*D151*D150-D150</f>
        <v>-1</v>
      </c>
      <c r="E152" s="3">
        <f>E148*E151*E150-E150</f>
        <v>0</v>
      </c>
      <c r="G152" s="3">
        <f>G148*G151*G150-G150</f>
        <v>0</v>
      </c>
      <c r="H152" s="3">
        <f>H148*H151*H150-H150</f>
        <v>-1</v>
      </c>
      <c r="I152" s="3">
        <f>I148*I151*I150-I150</f>
        <v>0</v>
      </c>
      <c r="K152" s="3">
        <f>K148*K151*K150-K150</f>
        <v>0</v>
      </c>
      <c r="L152" s="3">
        <f>L148*L151*L150-L150</f>
        <v>-1</v>
      </c>
      <c r="M152" s="3">
        <f>M148*M151*M150-M150</f>
        <v>0</v>
      </c>
    </row>
    <row r="154" spans="1:13">
      <c r="A154" s="1" t="s">
        <v>34</v>
      </c>
      <c r="C154" s="1" t="s">
        <v>1</v>
      </c>
      <c r="E154" s="1">
        <f>0+C161+D161+E161 + E145</f>
        <v>-7.9400000000000013</v>
      </c>
      <c r="G154" s="1" t="s">
        <v>2</v>
      </c>
      <c r="I154" s="1">
        <f>0+G161+H161+I161 + I145</f>
        <v>3.28</v>
      </c>
      <c r="K154" s="1" t="s">
        <v>3</v>
      </c>
      <c r="M154" s="1">
        <f>0+K161+L161+M161 + M145</f>
        <v>2.6699999999999995</v>
      </c>
    </row>
    <row r="155" spans="1:13">
      <c r="A155" t="s">
        <v>38</v>
      </c>
      <c r="C155" s="2" t="s">
        <v>5</v>
      </c>
      <c r="D155" s="2" t="s">
        <v>6</v>
      </c>
      <c r="E155" s="2" t="s">
        <v>7</v>
      </c>
      <c r="G155" s="2" t="s">
        <v>8</v>
      </c>
      <c r="H155" s="2" t="s">
        <v>9</v>
      </c>
      <c r="I155" s="2" t="s">
        <v>10</v>
      </c>
      <c r="K155" s="2" t="s">
        <v>11</v>
      </c>
      <c r="L155" s="2" t="s">
        <v>12</v>
      </c>
      <c r="M155" s="2" t="s">
        <v>13</v>
      </c>
    </row>
    <row r="156" spans="1:13">
      <c r="A156" t="s">
        <v>14</v>
      </c>
      <c r="C156" s="3">
        <v>2.097</v>
      </c>
      <c r="D156" s="3">
        <v>3.6080000000000001</v>
      </c>
      <c r="E156" s="3">
        <v>4.0620000000000003</v>
      </c>
      <c r="G156" s="3">
        <v>1.8440000000000001</v>
      </c>
      <c r="H156" s="3">
        <v>3.4409999999999998</v>
      </c>
      <c r="I156" s="3">
        <v>5.984</v>
      </c>
      <c r="K156" s="3">
        <v>2.99</v>
      </c>
      <c r="L156" s="3">
        <v>4.5190000000000001</v>
      </c>
      <c r="M156" s="3">
        <v>2.25</v>
      </c>
    </row>
    <row r="157" spans="1:13">
      <c r="A157" t="s">
        <v>15</v>
      </c>
      <c r="C157" s="3">
        <v>1.91</v>
      </c>
      <c r="D157" s="3">
        <v>3.58</v>
      </c>
      <c r="E157" s="3">
        <v>4.37</v>
      </c>
      <c r="G157" s="3">
        <v>2.6</v>
      </c>
      <c r="H157" s="3">
        <v>2.25</v>
      </c>
      <c r="I157" s="3">
        <v>4.6100000000000003</v>
      </c>
      <c r="K157" s="3">
        <v>2.36</v>
      </c>
      <c r="L157" s="3">
        <v>2.68</v>
      </c>
      <c r="M157" s="3">
        <v>4.01</v>
      </c>
    </row>
    <row r="158" spans="1:13">
      <c r="A158" t="s">
        <v>16</v>
      </c>
      <c r="C158" s="3">
        <f>C157/C156</f>
        <v>0.91082498807820689</v>
      </c>
      <c r="D158" s="3">
        <f>D157/D156</f>
        <v>0.9922394678492239</v>
      </c>
      <c r="E158" s="3">
        <f>E157/E156</f>
        <v>1.0758247168882324</v>
      </c>
      <c r="G158" s="3">
        <f>G157/G156</f>
        <v>1.4099783080260304</v>
      </c>
      <c r="H158" s="3">
        <f>H157/H156</f>
        <v>0.65387968613775072</v>
      </c>
      <c r="I158" s="3">
        <f>I157/I156</f>
        <v>0.77038770053475947</v>
      </c>
      <c r="K158" s="3">
        <f>K157/K156</f>
        <v>0.78929765886287617</v>
      </c>
      <c r="L158" s="3">
        <f>L157/L156</f>
        <v>0.59305156007966364</v>
      </c>
      <c r="M158" s="3">
        <f>M157/M156</f>
        <v>1.7822222222222222</v>
      </c>
    </row>
    <row r="159" spans="1:13">
      <c r="A159" t="s">
        <v>17</v>
      </c>
      <c r="C159" s="3">
        <v>0</v>
      </c>
      <c r="D159" s="3">
        <v>0</v>
      </c>
      <c r="E159" s="3">
        <v>1</v>
      </c>
      <c r="G159" s="3">
        <v>1</v>
      </c>
      <c r="H159" s="3">
        <v>0</v>
      </c>
      <c r="I159" s="3">
        <v>0</v>
      </c>
      <c r="K159" s="3">
        <v>0</v>
      </c>
      <c r="L159" s="3">
        <v>0</v>
      </c>
      <c r="M159" s="3">
        <v>1</v>
      </c>
    </row>
    <row r="160" spans="1:13">
      <c r="A160" t="s">
        <v>18</v>
      </c>
      <c r="C160" s="3">
        <v>1</v>
      </c>
      <c r="D160" s="3">
        <v>0</v>
      </c>
      <c r="E160" s="3">
        <v>0</v>
      </c>
      <c r="G160" s="3">
        <v>1</v>
      </c>
      <c r="H160" s="3">
        <v>0</v>
      </c>
      <c r="I160" s="3">
        <v>0</v>
      </c>
      <c r="K160" s="3">
        <v>0</v>
      </c>
      <c r="L160" s="3">
        <v>0</v>
      </c>
      <c r="M160" s="3">
        <v>1</v>
      </c>
    </row>
    <row r="161" spans="1:13">
      <c r="A161" t="s">
        <v>19</v>
      </c>
      <c r="C161" s="3">
        <f>C157*C160*C159-C159</f>
        <v>0</v>
      </c>
      <c r="D161" s="3">
        <f>D157*D160*D159-D159</f>
        <v>0</v>
      </c>
      <c r="E161" s="3">
        <f>E157*E160*E159-E159</f>
        <v>-1</v>
      </c>
      <c r="G161" s="3">
        <f>G157*G160*G159-G159</f>
        <v>1.6</v>
      </c>
      <c r="H161" s="3">
        <f>H157*H160*H159-H159</f>
        <v>0</v>
      </c>
      <c r="I161" s="3">
        <f>I157*I160*I159-I159</f>
        <v>0</v>
      </c>
      <c r="K161" s="3">
        <f>K157*K160*K159-K159</f>
        <v>0</v>
      </c>
      <c r="L161" s="3">
        <f>L157*L160*L159-L159</f>
        <v>0</v>
      </c>
      <c r="M161" s="3">
        <f>M157*M160*M159-M159</f>
        <v>3.01</v>
      </c>
    </row>
    <row r="163" spans="1:13">
      <c r="A163" s="1" t="s">
        <v>34</v>
      </c>
      <c r="C163" s="1" t="s">
        <v>1</v>
      </c>
      <c r="E163" s="1">
        <f>0+C170+D170+E170 + E154</f>
        <v>-5.3500000000000014</v>
      </c>
      <c r="G163" s="1" t="s">
        <v>2</v>
      </c>
      <c r="I163" s="1">
        <f>0+G170+H170+I170 + I154</f>
        <v>2.2799999999999998</v>
      </c>
      <c r="K163" s="1" t="s">
        <v>3</v>
      </c>
      <c r="M163" s="1">
        <f>0+K170+L170+M170 + M154</f>
        <v>1.6699999999999995</v>
      </c>
    </row>
    <row r="164" spans="1:13">
      <c r="A164" t="s">
        <v>39</v>
      </c>
      <c r="C164" s="2" t="s">
        <v>5</v>
      </c>
      <c r="D164" s="2" t="s">
        <v>6</v>
      </c>
      <c r="E164" s="2" t="s">
        <v>7</v>
      </c>
      <c r="G164" s="2" t="s">
        <v>8</v>
      </c>
      <c r="H164" s="2" t="s">
        <v>9</v>
      </c>
      <c r="I164" s="2" t="s">
        <v>10</v>
      </c>
      <c r="K164" s="2" t="s">
        <v>11</v>
      </c>
      <c r="L164" s="2" t="s">
        <v>12</v>
      </c>
      <c r="M164" s="2" t="s">
        <v>13</v>
      </c>
    </row>
    <row r="165" spans="1:13">
      <c r="A165" t="s">
        <v>14</v>
      </c>
      <c r="C165" s="3">
        <v>18.995999999999999</v>
      </c>
      <c r="D165" s="3">
        <v>2.5099999999999998</v>
      </c>
      <c r="E165" s="3">
        <v>1.821</v>
      </c>
      <c r="G165" s="3">
        <v>48.500999999999998</v>
      </c>
      <c r="H165" s="3">
        <v>1.522</v>
      </c>
      <c r="I165" s="3">
        <v>3.0990000000000002</v>
      </c>
      <c r="K165" s="3">
        <v>15.86</v>
      </c>
      <c r="L165" s="3">
        <v>1.33</v>
      </c>
      <c r="M165" s="3">
        <v>5.391</v>
      </c>
    </row>
    <row r="166" spans="1:13">
      <c r="A166" t="s">
        <v>15</v>
      </c>
      <c r="C166" s="3">
        <v>4.68</v>
      </c>
      <c r="D166" s="3">
        <v>3.59</v>
      </c>
      <c r="E166" s="3">
        <v>1.86</v>
      </c>
      <c r="G166" s="3">
        <v>4.68</v>
      </c>
      <c r="H166" s="3">
        <v>2.2799999999999998</v>
      </c>
      <c r="I166" s="3">
        <v>2.54</v>
      </c>
      <c r="K166" s="3">
        <v>3.96</v>
      </c>
      <c r="L166" s="3">
        <v>2.78</v>
      </c>
      <c r="M166" s="3">
        <v>2.33</v>
      </c>
    </row>
    <row r="167" spans="1:13">
      <c r="A167" t="s">
        <v>16</v>
      </c>
      <c r="C167" s="3">
        <f>C166/C165</f>
        <v>0.246367656348705</v>
      </c>
      <c r="D167" s="3">
        <f>D166/D165</f>
        <v>1.4302788844621515</v>
      </c>
      <c r="E167" s="3">
        <f>E166/E165</f>
        <v>1.0214168039538716</v>
      </c>
      <c r="G167" s="3">
        <f>G166/G165</f>
        <v>9.6492855817405826E-2</v>
      </c>
      <c r="H167" s="3">
        <f>H166/H165</f>
        <v>1.4980289093298291</v>
      </c>
      <c r="I167" s="3">
        <f>I166/I165</f>
        <v>0.81961923201032583</v>
      </c>
      <c r="K167" s="3">
        <f>K166/K165</f>
        <v>0.2496847414880202</v>
      </c>
      <c r="L167" s="3">
        <f>L166/L165</f>
        <v>2.0902255639097742</v>
      </c>
      <c r="M167" s="3">
        <f>M166/M165</f>
        <v>0.43220181784455575</v>
      </c>
    </row>
    <row r="168" spans="1:13">
      <c r="A168" t="s">
        <v>17</v>
      </c>
      <c r="C168" s="3">
        <v>0</v>
      </c>
      <c r="D168" s="3">
        <v>1</v>
      </c>
      <c r="E168" s="3">
        <v>0</v>
      </c>
      <c r="G168" s="3">
        <v>0</v>
      </c>
      <c r="H168" s="3">
        <v>1</v>
      </c>
      <c r="I168" s="3">
        <v>0</v>
      </c>
      <c r="K168" s="3">
        <v>0</v>
      </c>
      <c r="L168" s="3">
        <v>1</v>
      </c>
      <c r="M168" s="3">
        <v>0</v>
      </c>
    </row>
    <row r="169" spans="1:13">
      <c r="A169" t="s">
        <v>18</v>
      </c>
      <c r="C169" s="3">
        <v>0</v>
      </c>
      <c r="D169" s="3">
        <v>1</v>
      </c>
      <c r="E169" s="3">
        <v>0</v>
      </c>
      <c r="G169" s="3">
        <v>1</v>
      </c>
      <c r="H169" s="3">
        <v>0</v>
      </c>
      <c r="I169" s="3">
        <v>0</v>
      </c>
      <c r="K169" s="3">
        <v>0</v>
      </c>
      <c r="L169" s="3">
        <v>0</v>
      </c>
      <c r="M169" s="3">
        <v>1</v>
      </c>
    </row>
    <row r="170" spans="1:13">
      <c r="A170" t="s">
        <v>19</v>
      </c>
      <c r="C170" s="3">
        <f>C166*C169*C168-C168</f>
        <v>0</v>
      </c>
      <c r="D170" s="3">
        <f>D166*D169*D168-D168</f>
        <v>2.59</v>
      </c>
      <c r="E170" s="3">
        <f>E166*E169*E168-E168</f>
        <v>0</v>
      </c>
      <c r="G170" s="3">
        <f>G166*G169*G168-G168</f>
        <v>0</v>
      </c>
      <c r="H170" s="3">
        <f>H166*H169*H168-H168</f>
        <v>-1</v>
      </c>
      <c r="I170" s="3">
        <f>I166*I169*I168-I168</f>
        <v>0</v>
      </c>
      <c r="K170" s="3">
        <f>K166*K169*K168-K168</f>
        <v>0</v>
      </c>
      <c r="L170" s="3">
        <f>L166*L169*L168-L168</f>
        <v>-1</v>
      </c>
      <c r="M170" s="3">
        <f>M166*M169*M168-M168</f>
        <v>0</v>
      </c>
    </row>
    <row r="172" spans="1:13">
      <c r="A172" s="1" t="s">
        <v>34</v>
      </c>
      <c r="C172" s="1" t="s">
        <v>1</v>
      </c>
      <c r="E172" s="1">
        <f>0+C179+D179+E179 + E163</f>
        <v>-6.3500000000000014</v>
      </c>
      <c r="G172" s="1" t="s">
        <v>2</v>
      </c>
      <c r="I172" s="1">
        <f>0+G179+H179+I179 + I163</f>
        <v>4.26</v>
      </c>
      <c r="K172" s="1" t="s">
        <v>3</v>
      </c>
      <c r="M172" s="1">
        <f>0+K179+L179+M179 + M163</f>
        <v>0.66999999999999948</v>
      </c>
    </row>
    <row r="173" spans="1:13">
      <c r="A173" t="s">
        <v>40</v>
      </c>
      <c r="C173" s="2" t="s">
        <v>5</v>
      </c>
      <c r="D173" s="2" t="s">
        <v>6</v>
      </c>
      <c r="E173" s="2" t="s">
        <v>7</v>
      </c>
      <c r="G173" s="2" t="s">
        <v>8</v>
      </c>
      <c r="H173" s="2" t="s">
        <v>9</v>
      </c>
      <c r="I173" s="2" t="s">
        <v>10</v>
      </c>
      <c r="K173" s="2" t="s">
        <v>11</v>
      </c>
      <c r="L173" s="2" t="s">
        <v>12</v>
      </c>
      <c r="M173" s="2" t="s">
        <v>13</v>
      </c>
    </row>
    <row r="174" spans="1:13">
      <c r="A174" t="s">
        <v>14</v>
      </c>
      <c r="C174" s="3">
        <v>7.85</v>
      </c>
      <c r="D174" s="3">
        <v>6.9379999999999997</v>
      </c>
      <c r="E174" s="3">
        <v>1.3720000000000001</v>
      </c>
      <c r="G174" s="3">
        <v>4.4800000000000004</v>
      </c>
      <c r="H174" s="3">
        <v>3.4340000000000002</v>
      </c>
      <c r="I174" s="3">
        <v>2.0590000000000002</v>
      </c>
      <c r="K174" s="3">
        <v>11.5</v>
      </c>
      <c r="L174" s="3">
        <v>1.8360000000000001</v>
      </c>
      <c r="M174" s="3">
        <v>2.714</v>
      </c>
    </row>
    <row r="175" spans="1:13">
      <c r="A175" t="s">
        <v>15</v>
      </c>
      <c r="C175" s="3">
        <v>3.77</v>
      </c>
      <c r="D175" s="3">
        <v>3.38</v>
      </c>
      <c r="E175" s="3">
        <v>2.13</v>
      </c>
      <c r="G175" s="3">
        <v>4.1500000000000004</v>
      </c>
      <c r="H175" s="3">
        <v>2.13</v>
      </c>
      <c r="I175" s="3">
        <v>2.98</v>
      </c>
      <c r="K175" s="3">
        <v>3.66</v>
      </c>
      <c r="L175" s="3">
        <v>2.58</v>
      </c>
      <c r="M175" s="3">
        <v>2.58</v>
      </c>
    </row>
    <row r="176" spans="1:13">
      <c r="A176" t="s">
        <v>16</v>
      </c>
      <c r="C176" s="3">
        <f>C175/C174</f>
        <v>0.4802547770700637</v>
      </c>
      <c r="D176" s="3">
        <f>D175/D174</f>
        <v>0.48717209570481407</v>
      </c>
      <c r="E176" s="3">
        <f>E175/E174</f>
        <v>1.5524781341107869</v>
      </c>
      <c r="G176" s="3">
        <f>G175/G174</f>
        <v>0.9263392857142857</v>
      </c>
      <c r="H176" s="3">
        <f>H175/H174</f>
        <v>0.62026790914385554</v>
      </c>
      <c r="I176" s="3">
        <f>I175/I174</f>
        <v>1.4473045167557066</v>
      </c>
      <c r="K176" s="3">
        <f>K175/K174</f>
        <v>0.31826086956521743</v>
      </c>
      <c r="L176" s="3">
        <f>L175/L174</f>
        <v>1.4052287581699345</v>
      </c>
      <c r="M176" s="3">
        <f>M175/M174</f>
        <v>0.95062638172439207</v>
      </c>
    </row>
    <row r="177" spans="1:14">
      <c r="A177" t="s">
        <v>17</v>
      </c>
      <c r="C177" s="3">
        <v>0</v>
      </c>
      <c r="D177" s="3">
        <v>0</v>
      </c>
      <c r="E177" s="3">
        <v>1</v>
      </c>
      <c r="G177" s="3">
        <v>0</v>
      </c>
      <c r="H177" s="3">
        <v>0</v>
      </c>
      <c r="I177" s="3">
        <v>1</v>
      </c>
      <c r="K177" s="3">
        <v>0</v>
      </c>
      <c r="L177" s="3">
        <v>1</v>
      </c>
      <c r="M177" s="3">
        <v>0</v>
      </c>
    </row>
    <row r="178" spans="1:14">
      <c r="A178" t="s">
        <v>18</v>
      </c>
      <c r="C178" s="3">
        <v>0</v>
      </c>
      <c r="D178" s="3">
        <v>1</v>
      </c>
      <c r="E178" s="3">
        <v>0</v>
      </c>
      <c r="G178" s="3">
        <v>0</v>
      </c>
      <c r="H178" s="3">
        <v>0</v>
      </c>
      <c r="I178" s="3">
        <v>1</v>
      </c>
      <c r="K178" s="3">
        <v>1</v>
      </c>
      <c r="L178" s="3">
        <v>0</v>
      </c>
      <c r="M178" s="3">
        <v>0</v>
      </c>
    </row>
    <row r="179" spans="1:14">
      <c r="A179" t="s">
        <v>19</v>
      </c>
      <c r="C179" s="3">
        <f>C175*C178*C177-C177</f>
        <v>0</v>
      </c>
      <c r="D179" s="3">
        <f>D175*D178*D177-D177</f>
        <v>0</v>
      </c>
      <c r="E179" s="3">
        <f>E175*E178*E177-E177</f>
        <v>-1</v>
      </c>
      <c r="G179" s="3">
        <f>G175*G178*G177-G177</f>
        <v>0</v>
      </c>
      <c r="H179" s="3">
        <f>H175*H178*H177-H177</f>
        <v>0</v>
      </c>
      <c r="I179" s="3">
        <f>I175*I178*I177-I177</f>
        <v>1.98</v>
      </c>
      <c r="K179" s="3">
        <f>K175*K178*K177-K177</f>
        <v>0</v>
      </c>
      <c r="L179" s="3">
        <f>L175*L178*L177-L177</f>
        <v>-1</v>
      </c>
      <c r="M179" s="3">
        <f>M175*M178*M177-M177</f>
        <v>0</v>
      </c>
    </row>
    <row r="181" spans="1:14">
      <c r="A181" s="1" t="s">
        <v>34</v>
      </c>
      <c r="C181" s="1" t="s">
        <v>1</v>
      </c>
      <c r="E181" s="1">
        <f>0+C188+D188+E188 + E172</f>
        <v>-5.3500000000000014</v>
      </c>
      <c r="G181" s="1" t="s">
        <v>2</v>
      </c>
      <c r="I181" s="1">
        <f>0+G188+H188+I188 + I172</f>
        <v>5.91</v>
      </c>
      <c r="K181" s="1" t="s">
        <v>3</v>
      </c>
      <c r="M181" s="1">
        <f>0+K188+L188+M188 + M172</f>
        <v>-0.33000000000000052</v>
      </c>
      <c r="N181">
        <f>M181+I181+E181-N118-N55</f>
        <v>5.0500000000000007</v>
      </c>
    </row>
    <row r="182" spans="1:14">
      <c r="A182" t="s">
        <v>41</v>
      </c>
      <c r="C182" s="2" t="s">
        <v>5</v>
      </c>
      <c r="D182" s="2" t="s">
        <v>6</v>
      </c>
      <c r="E182" s="2" t="s">
        <v>7</v>
      </c>
      <c r="G182" s="2" t="s">
        <v>8</v>
      </c>
      <c r="H182" s="2" t="s">
        <v>9</v>
      </c>
      <c r="I182" s="2" t="s">
        <v>10</v>
      </c>
      <c r="K182" s="2" t="s">
        <v>11</v>
      </c>
      <c r="L182" s="2" t="s">
        <v>12</v>
      </c>
      <c r="M182" s="2" t="s">
        <v>13</v>
      </c>
    </row>
    <row r="183" spans="1:14">
      <c r="A183" t="s">
        <v>14</v>
      </c>
      <c r="C183" s="3">
        <v>4.8230000000000004</v>
      </c>
      <c r="D183" s="3">
        <v>7.3049999999999997</v>
      </c>
      <c r="E183" s="3">
        <v>1.524</v>
      </c>
      <c r="G183" s="3">
        <v>7.2130000000000001</v>
      </c>
      <c r="H183" s="3">
        <v>2.952</v>
      </c>
      <c r="I183" s="3">
        <v>1.913</v>
      </c>
      <c r="K183" s="3">
        <v>4.09</v>
      </c>
      <c r="L183" s="3">
        <v>4.1429999999999998</v>
      </c>
      <c r="M183" s="3">
        <v>1.944</v>
      </c>
    </row>
    <row r="184" spans="1:14">
      <c r="A184" t="s">
        <v>15</v>
      </c>
      <c r="C184" s="3">
        <v>4.2</v>
      </c>
      <c r="D184" s="3">
        <v>3.49</v>
      </c>
      <c r="E184" s="3">
        <v>2</v>
      </c>
      <c r="G184" s="3">
        <v>4.32</v>
      </c>
      <c r="H184" s="3">
        <v>2.2799999999999998</v>
      </c>
      <c r="I184" s="3">
        <v>2.65</v>
      </c>
      <c r="K184" s="3">
        <v>3.69</v>
      </c>
      <c r="L184" s="3">
        <v>2.74</v>
      </c>
      <c r="M184" s="3">
        <v>2.4300000000000002</v>
      </c>
    </row>
    <row r="185" spans="1:14">
      <c r="A185" t="s">
        <v>16</v>
      </c>
      <c r="C185" s="3">
        <f>C184/C183</f>
        <v>0.8708272859216255</v>
      </c>
      <c r="D185" s="3">
        <f>D184/D183</f>
        <v>0.47775496235455173</v>
      </c>
      <c r="E185" s="3">
        <f>E184/E183</f>
        <v>1.3123359580052494</v>
      </c>
      <c r="G185" s="3">
        <f>G184/G183</f>
        <v>0.59891861915985034</v>
      </c>
      <c r="H185" s="3">
        <f>H184/H183</f>
        <v>0.77235772357723576</v>
      </c>
      <c r="I185" s="3">
        <f>I184/I183</f>
        <v>1.3852587558808154</v>
      </c>
      <c r="K185" s="3">
        <f>K184/K183</f>
        <v>0.90220048899755501</v>
      </c>
      <c r="L185" s="3">
        <f>L184/L183</f>
        <v>0.66135650494810527</v>
      </c>
      <c r="M185" s="3">
        <f>M184/M183</f>
        <v>1.2500000000000002</v>
      </c>
    </row>
    <row r="186" spans="1:14">
      <c r="A186" t="s">
        <v>17</v>
      </c>
      <c r="C186" s="3">
        <v>0</v>
      </c>
      <c r="D186" s="3">
        <v>0</v>
      </c>
      <c r="E186" s="3">
        <v>1</v>
      </c>
      <c r="G186" s="3">
        <v>0</v>
      </c>
      <c r="H186" s="3">
        <v>0</v>
      </c>
      <c r="I186" s="3">
        <v>1</v>
      </c>
      <c r="K186" s="3">
        <v>0</v>
      </c>
      <c r="L186" s="3">
        <v>0</v>
      </c>
      <c r="M186" s="3">
        <v>1</v>
      </c>
    </row>
    <row r="187" spans="1:14">
      <c r="A187" t="s">
        <v>18</v>
      </c>
      <c r="C187" s="3">
        <v>0</v>
      </c>
      <c r="D187" s="3">
        <v>0</v>
      </c>
      <c r="E187" s="3">
        <v>1</v>
      </c>
      <c r="G187" s="3">
        <v>0</v>
      </c>
      <c r="H187" s="3">
        <v>0</v>
      </c>
      <c r="I187" s="3">
        <v>1</v>
      </c>
      <c r="K187" s="3">
        <v>0</v>
      </c>
      <c r="L187" s="3">
        <v>1</v>
      </c>
      <c r="M187" s="3">
        <v>0</v>
      </c>
    </row>
    <row r="188" spans="1:14">
      <c r="A188" t="s">
        <v>19</v>
      </c>
      <c r="C188" s="3">
        <f>C184*C187*C186-C186</f>
        <v>0</v>
      </c>
      <c r="D188" s="3">
        <f>D184*D187*D186-D186</f>
        <v>0</v>
      </c>
      <c r="E188" s="3">
        <f>E184*E187*E186-E186</f>
        <v>1</v>
      </c>
      <c r="G188" s="3">
        <f>G184*G187*G186-G186</f>
        <v>0</v>
      </c>
      <c r="H188" s="3">
        <f>H184*H187*H186-H186</f>
        <v>0</v>
      </c>
      <c r="I188" s="3">
        <f>I184*I187*I186-I186</f>
        <v>1.65</v>
      </c>
      <c r="K188" s="3">
        <f>K184*K187*K186-K186</f>
        <v>0</v>
      </c>
      <c r="L188" s="3">
        <f>L184*L187*L186-L186</f>
        <v>0</v>
      </c>
      <c r="M188" s="3">
        <f>M184*M187*M186-M186</f>
        <v>-1</v>
      </c>
    </row>
    <row r="190" spans="1:14">
      <c r="A190" s="1" t="s">
        <v>42</v>
      </c>
      <c r="C190" s="1" t="s">
        <v>1</v>
      </c>
      <c r="E190" s="1">
        <f>0+C197+D197+E197 + E181</f>
        <v>-4.1700000000000017</v>
      </c>
      <c r="G190" s="1" t="s">
        <v>2</v>
      </c>
      <c r="I190" s="1">
        <f>0+G197+H197+I197 + I181</f>
        <v>8.620000000000001</v>
      </c>
      <c r="K190" s="1" t="s">
        <v>3</v>
      </c>
      <c r="M190" s="1">
        <f>0+K197+L197+M197 + M181</f>
        <v>1.2099999999999995</v>
      </c>
    </row>
    <row r="191" spans="1:14">
      <c r="A191" t="s">
        <v>43</v>
      </c>
      <c r="C191" s="2" t="s">
        <v>5</v>
      </c>
      <c r="D191" s="2" t="s">
        <v>6</v>
      </c>
      <c r="E191" s="2" t="s">
        <v>7</v>
      </c>
      <c r="G191" s="2" t="s">
        <v>8</v>
      </c>
      <c r="H191" s="2" t="s">
        <v>9</v>
      </c>
      <c r="I191" s="2" t="s">
        <v>10</v>
      </c>
      <c r="K191" s="2" t="s">
        <v>11</v>
      </c>
      <c r="L191" s="2" t="s">
        <v>12</v>
      </c>
      <c r="M191" s="2" t="s">
        <v>13</v>
      </c>
    </row>
    <row r="192" spans="1:14">
      <c r="A192" t="s">
        <v>14</v>
      </c>
      <c r="C192" s="3">
        <v>1.571</v>
      </c>
      <c r="D192" s="3">
        <v>4.7519999999999998</v>
      </c>
      <c r="E192" s="3">
        <v>6.5190000000000001</v>
      </c>
      <c r="G192" s="3">
        <v>3.5409999999999999</v>
      </c>
      <c r="H192" s="3">
        <v>2.3079999999999998</v>
      </c>
      <c r="I192" s="3">
        <v>3.5139999999999998</v>
      </c>
      <c r="K192" s="3">
        <v>2.0379999999999998</v>
      </c>
      <c r="L192" s="3">
        <v>2.391</v>
      </c>
      <c r="M192" s="3">
        <v>10.952</v>
      </c>
    </row>
    <row r="193" spans="1:13">
      <c r="A193" t="s">
        <v>15</v>
      </c>
      <c r="C193" s="3">
        <v>2.1800000000000002</v>
      </c>
      <c r="D193" s="3">
        <v>3.45</v>
      </c>
      <c r="E193" s="3">
        <v>3.55</v>
      </c>
      <c r="G193" s="3">
        <v>3.18</v>
      </c>
      <c r="H193" s="3">
        <v>2.16</v>
      </c>
      <c r="I193" s="3">
        <v>3.71</v>
      </c>
      <c r="K193" s="3">
        <v>2.54</v>
      </c>
      <c r="L193" s="3">
        <v>2.65</v>
      </c>
      <c r="M193" s="3">
        <v>3.61</v>
      </c>
    </row>
    <row r="194" spans="1:13">
      <c r="A194" t="s">
        <v>16</v>
      </c>
      <c r="C194" s="3">
        <f>C193/C192</f>
        <v>1.3876511775938893</v>
      </c>
      <c r="D194" s="3">
        <f>D193/D192</f>
        <v>0.72601010101010111</v>
      </c>
      <c r="E194" s="3">
        <f>E193/E192</f>
        <v>0.54456204939407882</v>
      </c>
      <c r="G194" s="3">
        <f>G193/G192</f>
        <v>0.89805139791019495</v>
      </c>
      <c r="H194" s="3">
        <f>H193/H192</f>
        <v>0.93587521663778173</v>
      </c>
      <c r="I194" s="3">
        <f>I193/I192</f>
        <v>1.0557768924302788</v>
      </c>
      <c r="K194" s="3">
        <f>K193/K192</f>
        <v>1.2463199214916587</v>
      </c>
      <c r="L194" s="3">
        <f>L193/L192</f>
        <v>1.1083228774571308</v>
      </c>
      <c r="M194" s="3">
        <f>M193/M192</f>
        <v>0.32962016070124178</v>
      </c>
    </row>
    <row r="195" spans="1:13">
      <c r="A195" t="s">
        <v>17</v>
      </c>
      <c r="C195" s="3">
        <v>1</v>
      </c>
      <c r="D195" s="3">
        <v>0</v>
      </c>
      <c r="E195" s="3">
        <v>0</v>
      </c>
      <c r="G195" s="3">
        <v>0</v>
      </c>
      <c r="H195" s="3">
        <v>0</v>
      </c>
      <c r="I195" s="3">
        <v>1</v>
      </c>
      <c r="K195" s="3">
        <v>1</v>
      </c>
      <c r="L195" s="3">
        <v>0</v>
      </c>
      <c r="M195" s="3">
        <v>0</v>
      </c>
    </row>
    <row r="196" spans="1:13">
      <c r="A196" t="s">
        <v>18</v>
      </c>
      <c r="C196" s="3">
        <v>1</v>
      </c>
      <c r="D196" s="3">
        <v>0</v>
      </c>
      <c r="E196" s="3">
        <v>0</v>
      </c>
      <c r="G196" s="3">
        <v>0</v>
      </c>
      <c r="H196" s="3">
        <v>0</v>
      </c>
      <c r="I196" s="3">
        <v>1</v>
      </c>
      <c r="K196" s="3">
        <v>1</v>
      </c>
      <c r="L196" s="3">
        <v>0</v>
      </c>
      <c r="M196" s="3">
        <v>0</v>
      </c>
    </row>
    <row r="197" spans="1:13">
      <c r="A197" t="s">
        <v>19</v>
      </c>
      <c r="C197" s="3">
        <f>C193*C196*C195-C195</f>
        <v>1.1800000000000002</v>
      </c>
      <c r="D197" s="3">
        <f>D193*D196*D195-D195</f>
        <v>0</v>
      </c>
      <c r="E197" s="3">
        <f>E193*E196*E195-E195</f>
        <v>0</v>
      </c>
      <c r="G197" s="3">
        <f>G193*G196*G195-G195</f>
        <v>0</v>
      </c>
      <c r="H197" s="3">
        <f>H193*H196*H195-H195</f>
        <v>0</v>
      </c>
      <c r="I197" s="3">
        <f>I193*I196*I195-I195</f>
        <v>2.71</v>
      </c>
      <c r="K197" s="3">
        <f>K193*K196*K195-K195</f>
        <v>1.54</v>
      </c>
      <c r="L197" s="3">
        <f>L193*L196*L195-L195</f>
        <v>0</v>
      </c>
      <c r="M197" s="3">
        <f>M193*M196*M195-M195</f>
        <v>0</v>
      </c>
    </row>
    <row r="199" spans="1:13">
      <c r="A199" s="1" t="s">
        <v>42</v>
      </c>
      <c r="C199" s="1" t="s">
        <v>1</v>
      </c>
      <c r="E199" s="1">
        <f>0+C206+D206+E206 + E190</f>
        <v>-5.1700000000000017</v>
      </c>
      <c r="G199" s="1" t="s">
        <v>2</v>
      </c>
      <c r="I199" s="1">
        <f>0+G206+H206+I206 + I190</f>
        <v>10.110000000000001</v>
      </c>
      <c r="K199" s="1" t="s">
        <v>3</v>
      </c>
      <c r="M199" s="1">
        <f>0+K206+L206+M206 + M190</f>
        <v>0.20999999999999952</v>
      </c>
    </row>
    <row r="200" spans="1:13">
      <c r="A200" t="s">
        <v>44</v>
      </c>
      <c r="C200" s="2" t="s">
        <v>5</v>
      </c>
      <c r="D200" s="2" t="s">
        <v>6</v>
      </c>
      <c r="E200" s="2" t="s">
        <v>7</v>
      </c>
      <c r="G200" s="2" t="s">
        <v>8</v>
      </c>
      <c r="H200" s="2" t="s">
        <v>9</v>
      </c>
      <c r="I200" s="2" t="s">
        <v>10</v>
      </c>
      <c r="K200" s="2" t="s">
        <v>11</v>
      </c>
      <c r="L200" s="2" t="s">
        <v>12</v>
      </c>
      <c r="M200" s="2" t="s">
        <v>13</v>
      </c>
    </row>
    <row r="201" spans="1:13">
      <c r="A201" t="s">
        <v>14</v>
      </c>
      <c r="C201" s="3">
        <v>2.1360000000000001</v>
      </c>
      <c r="D201" s="3">
        <v>2.6739999999999999</v>
      </c>
      <c r="E201" s="3">
        <v>6.3289999999999997</v>
      </c>
      <c r="G201" s="3">
        <v>2.0670000000000002</v>
      </c>
      <c r="H201" s="3">
        <v>2.5150000000000001</v>
      </c>
      <c r="I201" s="3">
        <v>8.42</v>
      </c>
      <c r="K201" s="3">
        <v>2.5750000000000002</v>
      </c>
      <c r="L201" s="3">
        <v>5.81</v>
      </c>
      <c r="M201" s="3">
        <v>2.274</v>
      </c>
    </row>
    <row r="202" spans="1:13">
      <c r="A202" t="s">
        <v>15</v>
      </c>
      <c r="C202" s="3">
        <v>1.74</v>
      </c>
      <c r="D202" s="3">
        <v>3.69</v>
      </c>
      <c r="E202" s="3">
        <v>5.34</v>
      </c>
      <c r="G202" s="3">
        <v>2.4900000000000002</v>
      </c>
      <c r="H202" s="3">
        <v>2.2000000000000002</v>
      </c>
      <c r="I202" s="3">
        <v>5.24</v>
      </c>
      <c r="K202" s="3">
        <v>2.19</v>
      </c>
      <c r="L202" s="3">
        <v>2.67</v>
      </c>
      <c r="M202" s="3">
        <v>4.63</v>
      </c>
    </row>
    <row r="203" spans="1:13">
      <c r="A203" t="s">
        <v>16</v>
      </c>
      <c r="C203" s="3">
        <f>C202/C201</f>
        <v>0.8146067415730337</v>
      </c>
      <c r="D203" s="3">
        <f>D202/D201</f>
        <v>1.3799551234106209</v>
      </c>
      <c r="E203" s="3">
        <f>E202/E201</f>
        <v>0.84373518723337027</v>
      </c>
      <c r="G203" s="3">
        <f>G202/G201</f>
        <v>1.204644412191582</v>
      </c>
      <c r="H203" s="3">
        <f>H202/H201</f>
        <v>0.874751491053678</v>
      </c>
      <c r="I203" s="3">
        <f>I202/I201</f>
        <v>0.62232779097387181</v>
      </c>
      <c r="K203" s="3">
        <f>K202/K201</f>
        <v>0.85048543689320377</v>
      </c>
      <c r="L203" s="3">
        <f>L202/L201</f>
        <v>0.45955249569707401</v>
      </c>
      <c r="M203" s="3">
        <f>M202/M201</f>
        <v>2.0360598065083551</v>
      </c>
    </row>
    <row r="204" spans="1:13">
      <c r="A204" t="s">
        <v>17</v>
      </c>
      <c r="C204" s="3">
        <v>0</v>
      </c>
      <c r="D204" s="3">
        <v>1</v>
      </c>
      <c r="E204" s="3">
        <v>0</v>
      </c>
      <c r="G204" s="3">
        <v>1</v>
      </c>
      <c r="H204" s="3">
        <v>0</v>
      </c>
      <c r="I204" s="3">
        <v>0</v>
      </c>
      <c r="K204" s="3">
        <v>0</v>
      </c>
      <c r="L204" s="3">
        <v>0</v>
      </c>
      <c r="M204" s="3">
        <v>1</v>
      </c>
    </row>
    <row r="205" spans="1:13">
      <c r="A205" t="s">
        <v>18</v>
      </c>
      <c r="C205" s="3">
        <v>1</v>
      </c>
      <c r="D205" s="3">
        <v>0</v>
      </c>
      <c r="E205" s="3">
        <v>0</v>
      </c>
      <c r="G205" s="3">
        <v>1</v>
      </c>
      <c r="H205" s="3">
        <v>0</v>
      </c>
      <c r="I205" s="3">
        <v>0</v>
      </c>
      <c r="K205" s="3">
        <v>1</v>
      </c>
      <c r="L205" s="3">
        <v>0</v>
      </c>
      <c r="M205" s="3">
        <v>0</v>
      </c>
    </row>
    <row r="206" spans="1:13">
      <c r="A206" t="s">
        <v>19</v>
      </c>
      <c r="C206" s="3">
        <f>C202*C205*C204-C204</f>
        <v>0</v>
      </c>
      <c r="D206" s="3">
        <f>D202*D205*D204-D204</f>
        <v>-1</v>
      </c>
      <c r="E206" s="3">
        <f>E202*E205*E204-E204</f>
        <v>0</v>
      </c>
      <c r="G206" s="3">
        <f>G202*G205*G204-G204</f>
        <v>1.4900000000000002</v>
      </c>
      <c r="H206" s="3">
        <f>H202*H205*H204-H204</f>
        <v>0</v>
      </c>
      <c r="I206" s="3">
        <f>I202*I205*I204-I204</f>
        <v>0</v>
      </c>
      <c r="K206" s="3">
        <f>K202*K205*K204-K204</f>
        <v>0</v>
      </c>
      <c r="L206" s="3">
        <f>L202*L205*L204-L204</f>
        <v>0</v>
      </c>
      <c r="M206" s="3">
        <f>M202*M205*M204-M204</f>
        <v>-1</v>
      </c>
    </row>
    <row r="208" spans="1:13">
      <c r="A208" s="1" t="s">
        <v>42</v>
      </c>
      <c r="C208" s="1" t="s">
        <v>1</v>
      </c>
      <c r="E208" s="1">
        <f>0+C215+D215+E215 + E199</f>
        <v>-4.530000000000002</v>
      </c>
      <c r="G208" s="1" t="s">
        <v>2</v>
      </c>
      <c r="I208" s="1">
        <f>0+G215+H215+I215 + I199</f>
        <v>9.1100000000000012</v>
      </c>
      <c r="K208" s="1" t="s">
        <v>3</v>
      </c>
      <c r="M208" s="1">
        <f>0+K215+L215+M215 + M199</f>
        <v>1.1899999999999995</v>
      </c>
    </row>
    <row r="209" spans="1:13">
      <c r="A209" t="s">
        <v>45</v>
      </c>
      <c r="C209" s="2" t="s">
        <v>5</v>
      </c>
      <c r="D209" s="2" t="s">
        <v>6</v>
      </c>
      <c r="E209" s="2" t="s">
        <v>7</v>
      </c>
      <c r="G209" s="2" t="s">
        <v>8</v>
      </c>
      <c r="H209" s="2" t="s">
        <v>9</v>
      </c>
      <c r="I209" s="2" t="s">
        <v>10</v>
      </c>
      <c r="K209" s="2" t="s">
        <v>11</v>
      </c>
      <c r="L209" s="2" t="s">
        <v>12</v>
      </c>
      <c r="M209" s="2" t="s">
        <v>13</v>
      </c>
    </row>
    <row r="210" spans="1:13">
      <c r="A210" t="s">
        <v>14</v>
      </c>
      <c r="C210" s="3">
        <v>5.8</v>
      </c>
      <c r="D210" s="3">
        <v>6.8209999999999997</v>
      </c>
      <c r="E210" s="3">
        <v>1.468</v>
      </c>
      <c r="G210" s="3">
        <v>3.7160000000000002</v>
      </c>
      <c r="H210" s="3">
        <v>2.3639999999999999</v>
      </c>
      <c r="I210" s="3">
        <v>3.2469999999999999</v>
      </c>
      <c r="K210" s="3">
        <v>5.077</v>
      </c>
      <c r="L210" s="3">
        <v>3.7909999999999999</v>
      </c>
      <c r="M210" s="3">
        <v>1.8540000000000001</v>
      </c>
    </row>
    <row r="211" spans="1:13">
      <c r="A211" t="s">
        <v>15</v>
      </c>
      <c r="C211" s="3">
        <v>5.64</v>
      </c>
      <c r="D211" s="3">
        <v>4.0999999999999996</v>
      </c>
      <c r="E211" s="3">
        <v>1.64</v>
      </c>
      <c r="G211" s="3">
        <v>5.67</v>
      </c>
      <c r="H211" s="3">
        <v>2.4500000000000002</v>
      </c>
      <c r="I211" s="3">
        <v>2.17</v>
      </c>
      <c r="K211" s="3">
        <v>4.8600000000000003</v>
      </c>
      <c r="L211" s="3">
        <v>2.97</v>
      </c>
      <c r="M211" s="3">
        <v>1.98</v>
      </c>
    </row>
    <row r="212" spans="1:13">
      <c r="A212" t="s">
        <v>16</v>
      </c>
      <c r="C212" s="3">
        <f>C211/C210</f>
        <v>0.97241379310344822</v>
      </c>
      <c r="D212" s="3">
        <f>D211/D210</f>
        <v>0.6010848849142354</v>
      </c>
      <c r="E212" s="3">
        <f>E211/E210</f>
        <v>1.11716621253406</v>
      </c>
      <c r="G212" s="3">
        <f>G211/G210</f>
        <v>1.5258342303552206</v>
      </c>
      <c r="H212" s="3">
        <f>H211/H210</f>
        <v>1.0363790186125212</v>
      </c>
      <c r="I212" s="3">
        <f>I211/I210</f>
        <v>0.66830920850015396</v>
      </c>
      <c r="K212" s="3">
        <f>K211/K210</f>
        <v>0.95725822336025224</v>
      </c>
      <c r="L212" s="3">
        <f>L211/L210</f>
        <v>0.78343445001318923</v>
      </c>
      <c r="M212" s="3">
        <f>M211/M210</f>
        <v>1.0679611650485437</v>
      </c>
    </row>
    <row r="213" spans="1:13">
      <c r="A213" t="s">
        <v>17</v>
      </c>
      <c r="C213" s="3">
        <v>0</v>
      </c>
      <c r="D213" s="3">
        <v>0</v>
      </c>
      <c r="E213" s="3">
        <v>1</v>
      </c>
      <c r="G213" s="3">
        <v>1</v>
      </c>
      <c r="H213" s="3">
        <v>0</v>
      </c>
      <c r="I213" s="3">
        <v>0</v>
      </c>
      <c r="K213" s="3">
        <v>0</v>
      </c>
      <c r="L213" s="3">
        <v>0</v>
      </c>
      <c r="M213" s="3">
        <v>1</v>
      </c>
    </row>
    <row r="214" spans="1:13">
      <c r="A214" t="s">
        <v>18</v>
      </c>
      <c r="C214" s="3">
        <v>0</v>
      </c>
      <c r="D214" s="3">
        <v>0</v>
      </c>
      <c r="E214" s="3">
        <v>1</v>
      </c>
      <c r="G214" s="3">
        <v>0</v>
      </c>
      <c r="H214" s="3">
        <v>1</v>
      </c>
      <c r="I214" s="3">
        <v>0</v>
      </c>
      <c r="K214" s="3">
        <v>0</v>
      </c>
      <c r="L214" s="3">
        <v>0</v>
      </c>
      <c r="M214" s="3">
        <v>1</v>
      </c>
    </row>
    <row r="215" spans="1:13">
      <c r="A215" t="s">
        <v>19</v>
      </c>
      <c r="C215" s="3">
        <f>C211*C214*C213-C213</f>
        <v>0</v>
      </c>
      <c r="D215" s="3">
        <f>D211*D214*D213-D213</f>
        <v>0</v>
      </c>
      <c r="E215" s="3">
        <f>E211*E214*E213-E213</f>
        <v>0.6399999999999999</v>
      </c>
      <c r="G215" s="3">
        <f>G211*G214*G213-G213</f>
        <v>-1</v>
      </c>
      <c r="H215" s="3">
        <f>H211*H214*H213-H213</f>
        <v>0</v>
      </c>
      <c r="I215" s="3">
        <f>I211*I214*I213-I213</f>
        <v>0</v>
      </c>
      <c r="K215" s="3">
        <f>K211*K214*K213-K213</f>
        <v>0</v>
      </c>
      <c r="L215" s="3">
        <f>L211*L214*L213-L213</f>
        <v>0</v>
      </c>
      <c r="M215" s="3">
        <f>M211*M214*M213-M213</f>
        <v>0.98</v>
      </c>
    </row>
    <row r="217" spans="1:13">
      <c r="A217" s="1" t="s">
        <v>42</v>
      </c>
      <c r="C217" s="1" t="s">
        <v>1</v>
      </c>
      <c r="E217" s="1">
        <f>0+C224+D224+E224 + E208</f>
        <v>-5.530000000000002</v>
      </c>
      <c r="G217" s="1" t="s">
        <v>2</v>
      </c>
      <c r="I217" s="1">
        <f>0+G224+H224+I224 + I208</f>
        <v>8.1100000000000012</v>
      </c>
      <c r="K217" s="1" t="s">
        <v>3</v>
      </c>
      <c r="M217" s="1">
        <f>0+K224+L224+M224 + M208</f>
        <v>2.5299999999999994</v>
      </c>
    </row>
    <row r="218" spans="1:13">
      <c r="A218" t="s">
        <v>46</v>
      </c>
      <c r="C218" s="2" t="s">
        <v>5</v>
      </c>
      <c r="D218" s="2" t="s">
        <v>6</v>
      </c>
      <c r="E218" s="2" t="s">
        <v>7</v>
      </c>
      <c r="G218" s="2" t="s">
        <v>8</v>
      </c>
      <c r="H218" s="2" t="s">
        <v>9</v>
      </c>
      <c r="I218" s="2" t="s">
        <v>10</v>
      </c>
      <c r="K218" s="2" t="s">
        <v>11</v>
      </c>
      <c r="L218" s="2" t="s">
        <v>12</v>
      </c>
      <c r="M218" s="2" t="s">
        <v>13</v>
      </c>
    </row>
    <row r="219" spans="1:13">
      <c r="A219" t="s">
        <v>14</v>
      </c>
      <c r="C219" s="3">
        <v>1.244</v>
      </c>
      <c r="D219" s="3">
        <v>16.893999999999998</v>
      </c>
      <c r="E219" s="3">
        <v>7.2779999999999996</v>
      </c>
      <c r="G219" s="3">
        <v>1.506</v>
      </c>
      <c r="H219" s="3">
        <v>5.5430000000000001</v>
      </c>
      <c r="I219" s="3">
        <v>6.4219999999999997</v>
      </c>
      <c r="K219" s="3">
        <v>2.12</v>
      </c>
      <c r="L219" s="3">
        <v>3.3029999999999999</v>
      </c>
      <c r="M219" s="3">
        <v>4.4290000000000003</v>
      </c>
    </row>
    <row r="220" spans="1:13">
      <c r="A220" t="s">
        <v>15</v>
      </c>
      <c r="C220" s="3">
        <v>1.95</v>
      </c>
      <c r="D220" s="3">
        <v>3.85</v>
      </c>
      <c r="E220" s="3">
        <v>3.89</v>
      </c>
      <c r="G220" s="3">
        <v>2.56</v>
      </c>
      <c r="H220" s="3">
        <v>2.4300000000000002</v>
      </c>
      <c r="I220" s="3">
        <v>4.09</v>
      </c>
      <c r="K220" s="3">
        <v>2.34</v>
      </c>
      <c r="L220" s="3">
        <v>2.92</v>
      </c>
      <c r="M220" s="3">
        <v>3.61</v>
      </c>
    </row>
    <row r="221" spans="1:13">
      <c r="A221" t="s">
        <v>16</v>
      </c>
      <c r="C221" s="3">
        <f>C220/C219</f>
        <v>1.567524115755627</v>
      </c>
      <c r="D221" s="3">
        <f>D220/D219</f>
        <v>0.22789155913342019</v>
      </c>
      <c r="E221" s="3">
        <f>E220/E219</f>
        <v>0.53448749656499039</v>
      </c>
      <c r="G221" s="3">
        <f>G220/G219</f>
        <v>1.699867197875166</v>
      </c>
      <c r="H221" s="3">
        <f>H220/H219</f>
        <v>0.43839076312466174</v>
      </c>
      <c r="I221" s="3">
        <f>I220/I219</f>
        <v>0.6368732482092806</v>
      </c>
      <c r="K221" s="3">
        <f>K220/K219</f>
        <v>1.1037735849056602</v>
      </c>
      <c r="L221" s="3">
        <f>L220/L219</f>
        <v>0.88404480775052985</v>
      </c>
      <c r="M221" s="3">
        <f>M220/M219</f>
        <v>0.81508241137954385</v>
      </c>
    </row>
    <row r="222" spans="1:13">
      <c r="A222" t="s">
        <v>17</v>
      </c>
      <c r="C222" s="3">
        <v>1</v>
      </c>
      <c r="D222" s="3">
        <v>0</v>
      </c>
      <c r="E222" s="3">
        <v>0</v>
      </c>
      <c r="G222" s="3">
        <v>1</v>
      </c>
      <c r="H222" s="3">
        <v>0</v>
      </c>
      <c r="I222" s="3">
        <v>0</v>
      </c>
      <c r="K222" s="3">
        <v>1</v>
      </c>
      <c r="L222" s="3">
        <v>0</v>
      </c>
      <c r="M222" s="3">
        <v>0</v>
      </c>
    </row>
    <row r="223" spans="1:13">
      <c r="A223" t="s">
        <v>18</v>
      </c>
      <c r="C223" s="3">
        <v>0</v>
      </c>
      <c r="D223" s="3">
        <v>1</v>
      </c>
      <c r="E223" s="3">
        <v>0</v>
      </c>
      <c r="G223" s="3">
        <v>0</v>
      </c>
      <c r="H223" s="3">
        <v>0</v>
      </c>
      <c r="I223" s="3">
        <v>1</v>
      </c>
      <c r="K223" s="3">
        <v>1</v>
      </c>
      <c r="L223" s="3">
        <v>0</v>
      </c>
      <c r="M223" s="3">
        <v>0</v>
      </c>
    </row>
    <row r="224" spans="1:13">
      <c r="A224" t="s">
        <v>19</v>
      </c>
      <c r="C224" s="3">
        <f>C220*C223*C222-C222</f>
        <v>-1</v>
      </c>
      <c r="D224" s="3">
        <f>D220*D223*D222-D222</f>
        <v>0</v>
      </c>
      <c r="E224" s="3">
        <f>E220*E223*E222-E222</f>
        <v>0</v>
      </c>
      <c r="G224" s="3">
        <f>G220*G223*G222-G222</f>
        <v>-1</v>
      </c>
      <c r="H224" s="3">
        <f>H220*H223*H222-H222</f>
        <v>0</v>
      </c>
      <c r="I224" s="3">
        <f>I220*I223*I222-I222</f>
        <v>0</v>
      </c>
      <c r="K224" s="3">
        <f>K220*K223*K222-K222</f>
        <v>1.3399999999999999</v>
      </c>
      <c r="L224" s="3">
        <f>L220*L223*L222-L222</f>
        <v>0</v>
      </c>
      <c r="M224" s="3">
        <f>M220*M223*M222-M222</f>
        <v>0</v>
      </c>
    </row>
    <row r="226" spans="1:13">
      <c r="A226" s="1" t="s">
        <v>42</v>
      </c>
      <c r="C226" s="1" t="s">
        <v>1</v>
      </c>
      <c r="E226" s="1">
        <f>0+C233+D233+E233 + E217</f>
        <v>-6.530000000000002</v>
      </c>
      <c r="G226" s="1" t="s">
        <v>2</v>
      </c>
      <c r="I226" s="1">
        <f>0+G233+H233+I233 + I217</f>
        <v>7.1100000000000012</v>
      </c>
      <c r="K226" s="1" t="s">
        <v>3</v>
      </c>
      <c r="M226" s="1">
        <f>0+K233+L233+M233 + M217</f>
        <v>3.6899999999999995</v>
      </c>
    </row>
    <row r="227" spans="1:13">
      <c r="A227" t="s">
        <v>47</v>
      </c>
      <c r="C227" s="2" t="s">
        <v>5</v>
      </c>
      <c r="D227" s="2" t="s">
        <v>6</v>
      </c>
      <c r="E227" s="2" t="s">
        <v>7</v>
      </c>
      <c r="G227" s="2" t="s">
        <v>8</v>
      </c>
      <c r="H227" s="2" t="s">
        <v>9</v>
      </c>
      <c r="I227" s="2" t="s">
        <v>10</v>
      </c>
      <c r="K227" s="2" t="s">
        <v>11</v>
      </c>
      <c r="L227" s="2" t="s">
        <v>12</v>
      </c>
      <c r="M227" s="2" t="s">
        <v>13</v>
      </c>
    </row>
    <row r="228" spans="1:13">
      <c r="A228" t="s">
        <v>14</v>
      </c>
      <c r="C228" s="3">
        <v>1.4390000000000001</v>
      </c>
      <c r="D228" s="3">
        <v>4.7960000000000003</v>
      </c>
      <c r="E228" s="3">
        <v>10.327999999999999</v>
      </c>
      <c r="G228" s="3">
        <v>1.579</v>
      </c>
      <c r="H228" s="3">
        <v>2.88</v>
      </c>
      <c r="I228" s="3">
        <v>50.143000000000001</v>
      </c>
      <c r="K228" s="3">
        <v>4.9829999999999997</v>
      </c>
      <c r="L228" s="3">
        <v>1.89</v>
      </c>
      <c r="M228" s="3">
        <v>3.6989999999999998</v>
      </c>
    </row>
    <row r="229" spans="1:13">
      <c r="A229" t="s">
        <v>15</v>
      </c>
      <c r="C229" s="3">
        <v>2.4</v>
      </c>
      <c r="D229" s="3">
        <v>2.86</v>
      </c>
      <c r="E229" s="3">
        <v>3.78</v>
      </c>
      <c r="G229" s="3">
        <v>3.52</v>
      </c>
      <c r="H229" s="3">
        <v>1.79</v>
      </c>
      <c r="I229" s="3">
        <v>4.92</v>
      </c>
      <c r="K229" s="3">
        <v>2.9</v>
      </c>
      <c r="L229" s="3">
        <v>2.16</v>
      </c>
      <c r="M229" s="3">
        <v>4.21</v>
      </c>
    </row>
    <row r="230" spans="1:13">
      <c r="A230" t="s">
        <v>16</v>
      </c>
      <c r="C230" s="3">
        <f>C229/C228</f>
        <v>1.6678248783877692</v>
      </c>
      <c r="D230" s="3">
        <f>D229/D228</f>
        <v>0.59633027522935778</v>
      </c>
      <c r="E230" s="3">
        <f>E229/E228</f>
        <v>0.365995352439969</v>
      </c>
      <c r="G230" s="3">
        <f>G229/G228</f>
        <v>2.2292590246991768</v>
      </c>
      <c r="H230" s="3">
        <f>H229/H228</f>
        <v>0.62152777777777779</v>
      </c>
      <c r="I230" s="3">
        <f>I229/I228</f>
        <v>9.8119378577269004E-2</v>
      </c>
      <c r="K230" s="3">
        <f>K229/K228</f>
        <v>0.58197872767409198</v>
      </c>
      <c r="L230" s="3">
        <f>L229/L228</f>
        <v>1.142857142857143</v>
      </c>
      <c r="M230" s="3">
        <f>M229/M228</f>
        <v>1.1381454447147878</v>
      </c>
    </row>
    <row r="231" spans="1:13">
      <c r="A231" t="s">
        <v>17</v>
      </c>
      <c r="C231" s="3">
        <v>1</v>
      </c>
      <c r="D231" s="3">
        <v>0</v>
      </c>
      <c r="E231" s="3">
        <v>0</v>
      </c>
      <c r="G231" s="3">
        <v>1</v>
      </c>
      <c r="H231" s="3">
        <v>0</v>
      </c>
      <c r="I231" s="3">
        <v>0</v>
      </c>
      <c r="K231" s="3">
        <v>0</v>
      </c>
      <c r="L231" s="3">
        <v>1</v>
      </c>
      <c r="M231" s="3">
        <v>0</v>
      </c>
    </row>
    <row r="232" spans="1:13">
      <c r="A232" t="s">
        <v>18</v>
      </c>
      <c r="C232" s="3">
        <v>0</v>
      </c>
      <c r="D232" s="3">
        <v>0</v>
      </c>
      <c r="E232" s="3">
        <v>1</v>
      </c>
      <c r="G232" s="3">
        <v>0</v>
      </c>
      <c r="H232" s="3">
        <v>0</v>
      </c>
      <c r="I232" s="3">
        <v>1</v>
      </c>
      <c r="K232" s="3">
        <v>0</v>
      </c>
      <c r="L232" s="3">
        <v>1</v>
      </c>
      <c r="M232" s="3">
        <v>0</v>
      </c>
    </row>
    <row r="233" spans="1:13">
      <c r="A233" t="s">
        <v>19</v>
      </c>
      <c r="C233" s="3">
        <f>C229*C232*C231-C231</f>
        <v>-1</v>
      </c>
      <c r="D233" s="3">
        <f>D229*D232*D231-D231</f>
        <v>0</v>
      </c>
      <c r="E233" s="3">
        <f>E229*E232*E231-E231</f>
        <v>0</v>
      </c>
      <c r="G233" s="3">
        <f>G229*G232*G231-G231</f>
        <v>-1</v>
      </c>
      <c r="H233" s="3">
        <f>H229*H232*H231-H231</f>
        <v>0</v>
      </c>
      <c r="I233" s="3">
        <f>I229*I232*I231-I231</f>
        <v>0</v>
      </c>
      <c r="K233" s="3">
        <f>K229*K232*K231-K231</f>
        <v>0</v>
      </c>
      <c r="L233" s="3">
        <f>L229*L232*L231-L231</f>
        <v>1.1600000000000001</v>
      </c>
      <c r="M233" s="3">
        <f>M229*M232*M231-M231</f>
        <v>0</v>
      </c>
    </row>
    <row r="235" spans="1:13">
      <c r="A235" s="1" t="s">
        <v>42</v>
      </c>
      <c r="C235" s="1" t="s">
        <v>1</v>
      </c>
      <c r="E235" s="1">
        <f>0+C242+D242+E242 + E226</f>
        <v>-7.530000000000002</v>
      </c>
      <c r="G235" s="1" t="s">
        <v>2</v>
      </c>
      <c r="I235" s="1">
        <f>0+G242+H242+I242 + I226</f>
        <v>6.1100000000000012</v>
      </c>
      <c r="K235" s="1" t="s">
        <v>3</v>
      </c>
      <c r="M235" s="1">
        <f>0+K242+L242+M242 + M226</f>
        <v>2.6899999999999995</v>
      </c>
    </row>
    <row r="236" spans="1:13">
      <c r="A236" t="s">
        <v>48</v>
      </c>
      <c r="C236" s="2" t="s">
        <v>5</v>
      </c>
      <c r="D236" s="2" t="s">
        <v>6</v>
      </c>
      <c r="E236" s="2" t="s">
        <v>7</v>
      </c>
      <c r="G236" s="2" t="s">
        <v>8</v>
      </c>
      <c r="H236" s="2" t="s">
        <v>9</v>
      </c>
      <c r="I236" s="2" t="s">
        <v>10</v>
      </c>
      <c r="K236" s="2" t="s">
        <v>11</v>
      </c>
      <c r="L236" s="2" t="s">
        <v>12</v>
      </c>
      <c r="M236" s="2" t="s">
        <v>13</v>
      </c>
    </row>
    <row r="237" spans="1:13">
      <c r="A237" t="s">
        <v>14</v>
      </c>
      <c r="C237" s="3">
        <v>6.298</v>
      </c>
      <c r="D237" s="3">
        <v>2.4500000000000002</v>
      </c>
      <c r="E237" s="3">
        <v>2.3079999999999998</v>
      </c>
      <c r="G237" s="3">
        <v>3.8860000000000001</v>
      </c>
      <c r="H237" s="3">
        <v>2.4609999999999999</v>
      </c>
      <c r="I237" s="3">
        <v>2.9710000000000001</v>
      </c>
      <c r="K237" s="3">
        <v>8.6240000000000006</v>
      </c>
      <c r="L237" s="3">
        <v>1.7310000000000001</v>
      </c>
      <c r="M237" s="3">
        <v>3.2610000000000001</v>
      </c>
    </row>
    <row r="238" spans="1:13">
      <c r="A238" t="s">
        <v>15</v>
      </c>
      <c r="C238" s="3">
        <v>6.6</v>
      </c>
      <c r="D238" s="3">
        <v>4.92</v>
      </c>
      <c r="E238" s="3">
        <v>1.48</v>
      </c>
      <c r="G238" s="3">
        <v>5.94</v>
      </c>
      <c r="H238" s="3">
        <v>2.73</v>
      </c>
      <c r="I238" s="3">
        <v>1.95</v>
      </c>
      <c r="K238" s="3">
        <v>5.36</v>
      </c>
      <c r="L238" s="3">
        <v>3.33</v>
      </c>
      <c r="M238" s="3">
        <v>1.79</v>
      </c>
    </row>
    <row r="239" spans="1:13">
      <c r="A239" t="s">
        <v>16</v>
      </c>
      <c r="C239" s="3">
        <f>C238/C237</f>
        <v>1.0479517307081612</v>
      </c>
      <c r="D239" s="3">
        <f>D238/D237</f>
        <v>2.0081632653061221</v>
      </c>
      <c r="E239" s="3">
        <f>E238/E237</f>
        <v>0.64124783362218374</v>
      </c>
      <c r="G239" s="3">
        <f>G238/G237</f>
        <v>1.5285640761708699</v>
      </c>
      <c r="H239" s="3">
        <f>H238/H237</f>
        <v>1.1093051605038602</v>
      </c>
      <c r="I239" s="3">
        <f>I238/I237</f>
        <v>0.65634466509592726</v>
      </c>
      <c r="K239" s="3">
        <f>K238/K237</f>
        <v>0.62152133580705005</v>
      </c>
      <c r="L239" s="3">
        <f>L238/L237</f>
        <v>1.9237435008665511</v>
      </c>
      <c r="M239" s="3">
        <f>M238/M237</f>
        <v>0.54891137687825819</v>
      </c>
    </row>
    <row r="240" spans="1:13">
      <c r="A240" t="s">
        <v>17</v>
      </c>
      <c r="C240" s="3">
        <v>0</v>
      </c>
      <c r="D240" s="3">
        <v>1</v>
      </c>
      <c r="E240" s="3">
        <v>0</v>
      </c>
      <c r="G240" s="3">
        <v>1</v>
      </c>
      <c r="H240" s="3">
        <v>0</v>
      </c>
      <c r="I240" s="3">
        <v>0</v>
      </c>
      <c r="K240" s="3">
        <v>0</v>
      </c>
      <c r="L240" s="3">
        <v>1</v>
      </c>
      <c r="M240" s="3">
        <v>0</v>
      </c>
    </row>
    <row r="241" spans="1:14">
      <c r="A241" t="s">
        <v>18</v>
      </c>
      <c r="C241" s="3">
        <v>0</v>
      </c>
      <c r="D241" s="3">
        <v>0</v>
      </c>
      <c r="E241" s="3">
        <v>1</v>
      </c>
      <c r="G241" s="3">
        <v>0</v>
      </c>
      <c r="H241" s="3">
        <v>1</v>
      </c>
      <c r="I241" s="3">
        <v>0</v>
      </c>
      <c r="K241" s="3">
        <v>0</v>
      </c>
      <c r="L241" s="3">
        <v>0</v>
      </c>
      <c r="M241" s="3">
        <v>1</v>
      </c>
    </row>
    <row r="242" spans="1:14">
      <c r="A242" t="s">
        <v>19</v>
      </c>
      <c r="C242" s="3">
        <f>C238*C241*C240-C240</f>
        <v>0</v>
      </c>
      <c r="D242" s="3">
        <f>D238*D241*D240-D240</f>
        <v>-1</v>
      </c>
      <c r="E242" s="3">
        <f>E238*E241*E240-E240</f>
        <v>0</v>
      </c>
      <c r="G242" s="3">
        <f>G238*G241*G240-G240</f>
        <v>-1</v>
      </c>
      <c r="H242" s="3">
        <f>H238*H241*H240-H240</f>
        <v>0</v>
      </c>
      <c r="I242" s="3">
        <f>I238*I241*I240-I240</f>
        <v>0</v>
      </c>
      <c r="K242" s="3">
        <f>K238*K241*K240-K240</f>
        <v>0</v>
      </c>
      <c r="L242" s="3">
        <f>L238*L241*L240-L240</f>
        <v>-1</v>
      </c>
      <c r="M242" s="3">
        <f>M238*M241*M240-M240</f>
        <v>0</v>
      </c>
    </row>
    <row r="244" spans="1:14">
      <c r="A244" s="1" t="s">
        <v>42</v>
      </c>
      <c r="C244" s="1" t="s">
        <v>1</v>
      </c>
      <c r="E244" s="1">
        <f>0+C251+D251+E251 + E235</f>
        <v>-5.4300000000000015</v>
      </c>
      <c r="G244" s="1" t="s">
        <v>2</v>
      </c>
      <c r="I244" s="1">
        <f>0+G251+H251+I251 + I235</f>
        <v>7.1000000000000014</v>
      </c>
      <c r="K244" s="1" t="s">
        <v>3</v>
      </c>
      <c r="M244" s="1">
        <f>0+K251+L251+M251 + M235</f>
        <v>1.6899999999999995</v>
      </c>
      <c r="N244">
        <f>M244+I244+E244-N181--N118-N55</f>
        <v>-5.9300000000000015</v>
      </c>
    </row>
    <row r="245" spans="1:14">
      <c r="A245" t="s">
        <v>49</v>
      </c>
      <c r="C245" s="2" t="s">
        <v>5</v>
      </c>
      <c r="D245" s="2" t="s">
        <v>6</v>
      </c>
      <c r="E245" s="2" t="s">
        <v>7</v>
      </c>
      <c r="G245" s="2" t="s">
        <v>8</v>
      </c>
      <c r="H245" s="2" t="s">
        <v>9</v>
      </c>
      <c r="I245" s="2" t="s">
        <v>10</v>
      </c>
      <c r="K245" s="2" t="s">
        <v>11</v>
      </c>
      <c r="L245" s="2" t="s">
        <v>12</v>
      </c>
      <c r="M245" s="2" t="s">
        <v>13</v>
      </c>
    </row>
    <row r="246" spans="1:14">
      <c r="A246" t="s">
        <v>14</v>
      </c>
      <c r="C246" s="3">
        <v>2.4169999999999998</v>
      </c>
      <c r="D246" s="3">
        <v>2.1419999999999999</v>
      </c>
      <c r="E246" s="3">
        <v>8.3550000000000004</v>
      </c>
      <c r="G246" s="3">
        <v>9.218</v>
      </c>
      <c r="H246" s="3">
        <v>1.335</v>
      </c>
      <c r="I246" s="3">
        <v>7.0039999999999996</v>
      </c>
      <c r="K246" s="3">
        <v>2.1960000000000002</v>
      </c>
      <c r="L246" s="3">
        <v>2.2519999999999998</v>
      </c>
      <c r="M246" s="3">
        <v>9.92</v>
      </c>
    </row>
    <row r="247" spans="1:14">
      <c r="A247" t="s">
        <v>15</v>
      </c>
      <c r="C247" s="3">
        <v>3.38</v>
      </c>
      <c r="D247" s="3">
        <v>3.1</v>
      </c>
      <c r="E247" s="3">
        <v>3.47</v>
      </c>
      <c r="G247" s="3">
        <v>3.16</v>
      </c>
      <c r="H247" s="3">
        <v>1.99</v>
      </c>
      <c r="I247" s="3">
        <v>4.41</v>
      </c>
      <c r="K247" s="3">
        <v>3.75</v>
      </c>
      <c r="L247" s="3">
        <v>2.38</v>
      </c>
      <c r="M247" s="3">
        <v>3.8</v>
      </c>
    </row>
    <row r="248" spans="1:14">
      <c r="A248" t="s">
        <v>16</v>
      </c>
      <c r="C248" s="3">
        <f>C247/C246</f>
        <v>1.3984278030616468</v>
      </c>
      <c r="D248" s="3">
        <f>D247/D246</f>
        <v>1.4472455648926239</v>
      </c>
      <c r="E248" s="3">
        <f>E247/E246</f>
        <v>0.41532016756433271</v>
      </c>
      <c r="G248" s="3">
        <f>G247/G246</f>
        <v>0.34280755044478195</v>
      </c>
      <c r="H248" s="3">
        <f>H247/H246</f>
        <v>1.4906367041198503</v>
      </c>
      <c r="I248" s="3">
        <f>I247/I246</f>
        <v>0.62964020559680189</v>
      </c>
      <c r="K248" s="3">
        <f>K247/K246</f>
        <v>1.7076502732240435</v>
      </c>
      <c r="L248" s="3">
        <f>L247/L246</f>
        <v>1.0568383658969804</v>
      </c>
      <c r="M248" s="3">
        <f>M247/M246</f>
        <v>0.38306451612903225</v>
      </c>
    </row>
    <row r="249" spans="1:14">
      <c r="A249" t="s">
        <v>17</v>
      </c>
      <c r="C249" s="3">
        <v>0</v>
      </c>
      <c r="D249" s="3">
        <v>1</v>
      </c>
      <c r="E249" s="3">
        <v>0</v>
      </c>
      <c r="G249" s="3">
        <v>0</v>
      </c>
      <c r="H249" s="3">
        <v>1</v>
      </c>
      <c r="I249" s="3">
        <v>0</v>
      </c>
      <c r="K249" s="3">
        <v>1</v>
      </c>
      <c r="L249" s="3">
        <v>0</v>
      </c>
      <c r="M249" s="3">
        <v>0</v>
      </c>
    </row>
    <row r="250" spans="1:14">
      <c r="A250" t="s">
        <v>18</v>
      </c>
      <c r="C250" s="3">
        <v>0</v>
      </c>
      <c r="D250" s="3">
        <v>1</v>
      </c>
      <c r="E250" s="3">
        <v>0</v>
      </c>
      <c r="G250" s="3">
        <v>0</v>
      </c>
      <c r="H250" s="3">
        <v>1</v>
      </c>
      <c r="I250" s="3">
        <v>0</v>
      </c>
      <c r="K250" s="3">
        <v>0</v>
      </c>
      <c r="L250" s="3">
        <v>1</v>
      </c>
      <c r="M250" s="3">
        <v>0</v>
      </c>
    </row>
    <row r="251" spans="1:14">
      <c r="A251" t="s">
        <v>19</v>
      </c>
      <c r="C251" s="3">
        <f>C247*C250*C249-C249</f>
        <v>0</v>
      </c>
      <c r="D251" s="3">
        <f>D247*D250*D249-D249</f>
        <v>2.1</v>
      </c>
      <c r="E251" s="3">
        <f>E247*E250*E249-E249</f>
        <v>0</v>
      </c>
      <c r="G251" s="3">
        <f>G247*G250*G249-G249</f>
        <v>0</v>
      </c>
      <c r="H251" s="3">
        <f>H247*H250*H249-H249</f>
        <v>0.99</v>
      </c>
      <c r="I251" s="3">
        <f>I247*I250*I249-I249</f>
        <v>0</v>
      </c>
      <c r="K251" s="3">
        <f>K247*K250*K249-K249</f>
        <v>-1</v>
      </c>
      <c r="L251" s="3">
        <f>L247*L250*L249-L249</f>
        <v>0</v>
      </c>
      <c r="M251" s="3">
        <f>M247*M250*M249-M249</f>
        <v>0</v>
      </c>
    </row>
    <row r="253" spans="1:14">
      <c r="A253" s="1" t="s">
        <v>50</v>
      </c>
      <c r="C253" s="1" t="s">
        <v>1</v>
      </c>
      <c r="E253" s="1">
        <f>0+C260+D260+E260 + E244</f>
        <v>-3.5000000000000013</v>
      </c>
      <c r="G253" s="1" t="s">
        <v>2</v>
      </c>
      <c r="I253" s="1">
        <f>0+G260+H260+I260 + I244</f>
        <v>6.1000000000000014</v>
      </c>
      <c r="K253" s="1" t="s">
        <v>3</v>
      </c>
      <c r="M253" s="1">
        <f>0+K260+L260+M260 + M244</f>
        <v>0.6899999999999995</v>
      </c>
    </row>
    <row r="254" spans="1:14">
      <c r="A254" t="s">
        <v>51</v>
      </c>
      <c r="C254" s="2" t="s">
        <v>5</v>
      </c>
      <c r="D254" s="2" t="s">
        <v>6</v>
      </c>
      <c r="E254" s="2" t="s">
        <v>7</v>
      </c>
      <c r="G254" s="2" t="s">
        <v>8</v>
      </c>
      <c r="H254" s="2" t="s">
        <v>9</v>
      </c>
      <c r="I254" s="2" t="s">
        <v>10</v>
      </c>
      <c r="K254" s="2" t="s">
        <v>11</v>
      </c>
      <c r="L254" s="2" t="s">
        <v>12</v>
      </c>
      <c r="M254" s="2" t="s">
        <v>13</v>
      </c>
    </row>
    <row r="255" spans="1:14">
      <c r="A255" t="s">
        <v>14</v>
      </c>
      <c r="C255" s="3">
        <v>2.62</v>
      </c>
      <c r="D255" s="3">
        <v>5.1689999999999996</v>
      </c>
      <c r="E255" s="3">
        <v>2.3530000000000002</v>
      </c>
      <c r="G255" s="3">
        <v>2.1869999999999998</v>
      </c>
      <c r="H255" s="3">
        <v>2.9159999999999999</v>
      </c>
      <c r="I255" s="3">
        <v>5.0010000000000003</v>
      </c>
      <c r="K255" s="3">
        <v>3.6819999999999999</v>
      </c>
      <c r="L255" s="3">
        <v>2.4289999999999998</v>
      </c>
      <c r="M255" s="3">
        <v>3.1560000000000001</v>
      </c>
    </row>
    <row r="256" spans="1:14">
      <c r="A256" t="s">
        <v>15</v>
      </c>
      <c r="C256" s="3">
        <v>2.67</v>
      </c>
      <c r="D256" s="3">
        <v>3.18</v>
      </c>
      <c r="E256" s="3">
        <v>2.93</v>
      </c>
      <c r="G256" s="3">
        <v>3.5</v>
      </c>
      <c r="H256" s="3">
        <v>2.08</v>
      </c>
      <c r="I256" s="3">
        <v>3.59</v>
      </c>
      <c r="K256" s="3">
        <v>2.94</v>
      </c>
      <c r="L256" s="3">
        <v>2.54</v>
      </c>
      <c r="M256" s="3">
        <v>3.21</v>
      </c>
    </row>
    <row r="257" spans="1:13">
      <c r="A257" t="s">
        <v>16</v>
      </c>
      <c r="C257" s="3">
        <f>C256/C255</f>
        <v>1.0190839694656488</v>
      </c>
      <c r="D257" s="3">
        <f>D256/D255</f>
        <v>0.61520603598374934</v>
      </c>
      <c r="E257" s="3">
        <f>E256/E255</f>
        <v>1.2452188695282618</v>
      </c>
      <c r="G257" s="3">
        <f>G256/G255</f>
        <v>1.6003657978966621</v>
      </c>
      <c r="H257" s="3">
        <f>H256/H255</f>
        <v>0.71330589849108372</v>
      </c>
      <c r="I257" s="3">
        <f>I256/I255</f>
        <v>0.71785642871425703</v>
      </c>
      <c r="K257" s="3">
        <f>K256/K255</f>
        <v>0.79847908745247154</v>
      </c>
      <c r="L257" s="3">
        <f>L256/L255</f>
        <v>1.0456978180321121</v>
      </c>
      <c r="M257" s="3">
        <f>M256/M255</f>
        <v>1.0171102661596958</v>
      </c>
    </row>
    <row r="258" spans="1:13">
      <c r="A258" t="s">
        <v>17</v>
      </c>
      <c r="C258" s="3">
        <v>0</v>
      </c>
      <c r="D258" s="3">
        <v>0</v>
      </c>
      <c r="E258" s="3">
        <v>1</v>
      </c>
      <c r="G258" s="3">
        <v>1</v>
      </c>
      <c r="H258" s="3">
        <v>0</v>
      </c>
      <c r="I258" s="3">
        <v>0</v>
      </c>
      <c r="K258" s="3">
        <v>0</v>
      </c>
      <c r="L258" s="3">
        <v>1</v>
      </c>
      <c r="M258" s="3">
        <v>0</v>
      </c>
    </row>
    <row r="259" spans="1:13">
      <c r="A259" t="s">
        <v>18</v>
      </c>
      <c r="C259" s="3">
        <v>0</v>
      </c>
      <c r="D259" s="3">
        <v>0</v>
      </c>
      <c r="E259" s="3">
        <v>1</v>
      </c>
      <c r="G259" s="3">
        <v>0</v>
      </c>
      <c r="H259" s="3">
        <v>0</v>
      </c>
      <c r="I259" s="3">
        <v>1</v>
      </c>
      <c r="K259" s="3">
        <v>0</v>
      </c>
      <c r="L259" s="3">
        <v>0</v>
      </c>
      <c r="M259" s="3">
        <v>1</v>
      </c>
    </row>
    <row r="260" spans="1:13">
      <c r="A260" t="s">
        <v>19</v>
      </c>
      <c r="C260" s="3">
        <f>C256*C259*C258-C258</f>
        <v>0</v>
      </c>
      <c r="D260" s="3">
        <f>D256*D259*D258-D258</f>
        <v>0</v>
      </c>
      <c r="E260" s="3">
        <f>E256*E259*E258-E258</f>
        <v>1.9300000000000002</v>
      </c>
      <c r="G260" s="3">
        <f>G256*G259*G258-G258</f>
        <v>-1</v>
      </c>
      <c r="H260" s="3">
        <f>H256*H259*H258-H258</f>
        <v>0</v>
      </c>
      <c r="I260" s="3">
        <f>I256*I259*I258-I258</f>
        <v>0</v>
      </c>
      <c r="K260" s="3">
        <f>K256*K259*K258-K258</f>
        <v>0</v>
      </c>
      <c r="L260" s="3">
        <f>L256*L259*L258-L258</f>
        <v>-1</v>
      </c>
      <c r="M260" s="3">
        <f>M256*M259*M258-M258</f>
        <v>0</v>
      </c>
    </row>
    <row r="262" spans="1:13">
      <c r="A262" s="1" t="s">
        <v>50</v>
      </c>
      <c r="C262" s="1" t="s">
        <v>1</v>
      </c>
      <c r="E262" s="1">
        <f>0+C269+D269+E269 + E253</f>
        <v>-3.0500000000000016</v>
      </c>
      <c r="G262" s="1" t="s">
        <v>2</v>
      </c>
      <c r="I262" s="1">
        <f>0+G269+H269+I269 + I253</f>
        <v>5.1000000000000014</v>
      </c>
      <c r="K262" s="1" t="s">
        <v>3</v>
      </c>
      <c r="M262" s="1">
        <f>0+K269+L269+M269 + M253</f>
        <v>-0.3100000000000005</v>
      </c>
    </row>
    <row r="263" spans="1:13">
      <c r="A263" t="s">
        <v>52</v>
      </c>
      <c r="C263" s="2" t="s">
        <v>5</v>
      </c>
      <c r="D263" s="2" t="s">
        <v>6</v>
      </c>
      <c r="E263" s="2" t="s">
        <v>7</v>
      </c>
      <c r="G263" s="2" t="s">
        <v>8</v>
      </c>
      <c r="H263" s="2" t="s">
        <v>9</v>
      </c>
      <c r="I263" s="2" t="s">
        <v>10</v>
      </c>
      <c r="K263" s="2" t="s">
        <v>11</v>
      </c>
      <c r="L263" s="2" t="s">
        <v>12</v>
      </c>
      <c r="M263" s="2" t="s">
        <v>13</v>
      </c>
    </row>
    <row r="264" spans="1:13">
      <c r="A264" t="s">
        <v>14</v>
      </c>
      <c r="C264" s="3">
        <v>1.3740000000000001</v>
      </c>
      <c r="D264" s="3">
        <v>7.4740000000000002</v>
      </c>
      <c r="E264" s="3">
        <v>7.2</v>
      </c>
      <c r="G264" s="3">
        <v>2.0510000000000002</v>
      </c>
      <c r="H264" s="3">
        <v>3.4350000000000001</v>
      </c>
      <c r="I264" s="3">
        <v>4.5149999999999997</v>
      </c>
      <c r="K264" s="3">
        <v>1.752</v>
      </c>
      <c r="L264" s="3">
        <v>2.9239999999999999</v>
      </c>
      <c r="M264" s="3">
        <v>11.433999999999999</v>
      </c>
    </row>
    <row r="265" spans="1:13">
      <c r="A265" t="s">
        <v>15</v>
      </c>
      <c r="C265" s="3">
        <v>1.45</v>
      </c>
      <c r="D265" s="3">
        <v>5.62</v>
      </c>
      <c r="E265" s="3">
        <v>6.13</v>
      </c>
      <c r="G265" s="3">
        <v>1.89</v>
      </c>
      <c r="H265" s="3">
        <v>3</v>
      </c>
      <c r="I265" s="3">
        <v>5.44</v>
      </c>
      <c r="K265" s="3">
        <v>1.72</v>
      </c>
      <c r="L265" s="3">
        <v>3.61</v>
      </c>
      <c r="M265" s="3">
        <v>5.32</v>
      </c>
    </row>
    <row r="266" spans="1:13">
      <c r="A266" t="s">
        <v>16</v>
      </c>
      <c r="C266" s="3">
        <f>C265/C264</f>
        <v>1.0553129548762736</v>
      </c>
      <c r="D266" s="3">
        <f>D265/D264</f>
        <v>0.75194005887075188</v>
      </c>
      <c r="E266" s="3">
        <f>E265/E264</f>
        <v>0.85138888888888886</v>
      </c>
      <c r="G266" s="3">
        <f>G265/G264</f>
        <v>0.92150170648464147</v>
      </c>
      <c r="H266" s="3">
        <f>H265/H264</f>
        <v>0.8733624454148472</v>
      </c>
      <c r="I266" s="3">
        <f>I265/I264</f>
        <v>1.2048726467331121</v>
      </c>
      <c r="K266" s="3">
        <f>K265/K264</f>
        <v>0.9817351598173516</v>
      </c>
      <c r="L266" s="3">
        <f>L265/L264</f>
        <v>1.234610123119015</v>
      </c>
      <c r="M266" s="3">
        <f>M265/M264</f>
        <v>0.46527899247857274</v>
      </c>
    </row>
    <row r="267" spans="1:13">
      <c r="A267" t="s">
        <v>17</v>
      </c>
      <c r="C267" s="3">
        <v>1</v>
      </c>
      <c r="D267" s="3">
        <v>0</v>
      </c>
      <c r="E267" s="3">
        <v>0</v>
      </c>
      <c r="G267" s="3">
        <v>0</v>
      </c>
      <c r="H267" s="3">
        <v>0</v>
      </c>
      <c r="I267" s="3">
        <v>1</v>
      </c>
      <c r="K267" s="3">
        <v>0</v>
      </c>
      <c r="L267" s="3">
        <v>1</v>
      </c>
      <c r="M267" s="3">
        <v>0</v>
      </c>
    </row>
    <row r="268" spans="1:13">
      <c r="A268" t="s">
        <v>18</v>
      </c>
      <c r="C268" s="3">
        <v>1</v>
      </c>
      <c r="D268" s="3">
        <v>0</v>
      </c>
      <c r="E268" s="3">
        <v>0</v>
      </c>
      <c r="G268" s="3">
        <v>0</v>
      </c>
      <c r="H268" s="3">
        <v>1</v>
      </c>
      <c r="I268" s="3">
        <v>0</v>
      </c>
      <c r="K268" s="3">
        <v>1</v>
      </c>
      <c r="L268" s="3">
        <v>0</v>
      </c>
      <c r="M268" s="3">
        <v>0</v>
      </c>
    </row>
    <row r="269" spans="1:13">
      <c r="A269" t="s">
        <v>19</v>
      </c>
      <c r="C269" s="3">
        <f>C265*C268*C267-C267</f>
        <v>0.44999999999999996</v>
      </c>
      <c r="D269" s="3">
        <f>D265*D268*D267-D267</f>
        <v>0</v>
      </c>
      <c r="E269" s="3">
        <f>E265*E268*E267-E267</f>
        <v>0</v>
      </c>
      <c r="G269" s="3">
        <f>G265*G268*G267-G267</f>
        <v>0</v>
      </c>
      <c r="H269" s="3">
        <f>H265*H268*H267-H267</f>
        <v>0</v>
      </c>
      <c r="I269" s="3">
        <f>I265*I268*I267-I267</f>
        <v>-1</v>
      </c>
      <c r="K269" s="3">
        <f>K265*K268*K267-K267</f>
        <v>0</v>
      </c>
      <c r="L269" s="3">
        <f>L265*L268*L267-L267</f>
        <v>-1</v>
      </c>
      <c r="M269" s="3">
        <f>M265*M268*M267-M267</f>
        <v>0</v>
      </c>
    </row>
    <row r="271" spans="1:13">
      <c r="A271" s="1" t="s">
        <v>50</v>
      </c>
      <c r="C271" s="1" t="s">
        <v>1</v>
      </c>
      <c r="E271" s="1">
        <f>0+C278+D278+E278 + E262</f>
        <v>-4.0500000000000016</v>
      </c>
      <c r="G271" s="1" t="s">
        <v>2</v>
      </c>
      <c r="I271" s="1">
        <f>0+G278+H278+I278 + I262</f>
        <v>4.1000000000000014</v>
      </c>
      <c r="K271" s="1" t="s">
        <v>3</v>
      </c>
      <c r="M271" s="1">
        <f>0+K278+L278+M278 + M262</f>
        <v>-1.3100000000000005</v>
      </c>
    </row>
    <row r="272" spans="1:13">
      <c r="A272" t="s">
        <v>53</v>
      </c>
      <c r="C272" s="2" t="s">
        <v>5</v>
      </c>
      <c r="D272" s="2" t="s">
        <v>6</v>
      </c>
      <c r="E272" s="2" t="s">
        <v>7</v>
      </c>
      <c r="G272" s="2" t="s">
        <v>8</v>
      </c>
      <c r="H272" s="2" t="s">
        <v>9</v>
      </c>
      <c r="I272" s="2" t="s">
        <v>10</v>
      </c>
      <c r="K272" s="2" t="s">
        <v>11</v>
      </c>
      <c r="L272" s="2" t="s">
        <v>12</v>
      </c>
      <c r="M272" s="2" t="s">
        <v>13</v>
      </c>
    </row>
    <row r="273" spans="1:13">
      <c r="A273" t="s">
        <v>14</v>
      </c>
      <c r="C273" s="3">
        <v>2.226</v>
      </c>
      <c r="D273" s="3">
        <v>5.7060000000000004</v>
      </c>
      <c r="E273" s="3">
        <v>2.661</v>
      </c>
      <c r="G273" s="3">
        <v>4.0220000000000002</v>
      </c>
      <c r="H273" s="3">
        <v>6.7859999999999996</v>
      </c>
      <c r="I273" s="3">
        <v>1.655</v>
      </c>
      <c r="K273" s="3">
        <v>3.113</v>
      </c>
      <c r="L273" s="3">
        <v>4.7670000000000003</v>
      </c>
      <c r="M273" s="3">
        <v>2.1309999999999998</v>
      </c>
    </row>
    <row r="274" spans="1:13">
      <c r="A274" t="s">
        <v>15</v>
      </c>
      <c r="C274" s="3">
        <v>2.42</v>
      </c>
      <c r="D274" s="3">
        <v>3.46</v>
      </c>
      <c r="E274" s="3">
        <v>3.05</v>
      </c>
      <c r="G274" s="3">
        <v>3.1</v>
      </c>
      <c r="H274" s="3">
        <v>2.2799999999999998</v>
      </c>
      <c r="I274" s="3">
        <v>3.51</v>
      </c>
      <c r="K274" s="3">
        <v>2.78</v>
      </c>
      <c r="L274" s="3">
        <v>2.78</v>
      </c>
      <c r="M274" s="3">
        <v>3.05</v>
      </c>
    </row>
    <row r="275" spans="1:13">
      <c r="A275" t="s">
        <v>16</v>
      </c>
      <c r="C275" s="3">
        <f>C274/C273</f>
        <v>1.0871518418688231</v>
      </c>
      <c r="D275" s="3">
        <f>D274/D273</f>
        <v>0.60637924991237291</v>
      </c>
      <c r="E275" s="3">
        <f>E274/E273</f>
        <v>1.1461856444945508</v>
      </c>
      <c r="G275" s="3">
        <f>G274/G273</f>
        <v>0.77076081551466924</v>
      </c>
      <c r="H275" s="3">
        <f>H274/H273</f>
        <v>0.33598585322723251</v>
      </c>
      <c r="I275" s="3">
        <f>I274/I273</f>
        <v>2.1208459214501509</v>
      </c>
      <c r="K275" s="3">
        <f>K274/K273</f>
        <v>0.89302923225184705</v>
      </c>
      <c r="L275" s="3">
        <f>L274/L273</f>
        <v>0.58317600167820427</v>
      </c>
      <c r="M275" s="3">
        <f>M274/M273</f>
        <v>1.4312529328953543</v>
      </c>
    </row>
    <row r="276" spans="1:13">
      <c r="A276" t="s">
        <v>17</v>
      </c>
      <c r="C276" s="3">
        <v>0</v>
      </c>
      <c r="D276" s="3">
        <v>0</v>
      </c>
      <c r="E276" s="3">
        <v>1</v>
      </c>
      <c r="G276" s="3">
        <v>0</v>
      </c>
      <c r="H276" s="3">
        <v>0</v>
      </c>
      <c r="I276" s="3">
        <v>1</v>
      </c>
      <c r="K276" s="3">
        <v>0</v>
      </c>
      <c r="L276" s="3">
        <v>0</v>
      </c>
      <c r="M276" s="3">
        <v>1</v>
      </c>
    </row>
    <row r="277" spans="1:13">
      <c r="A277" t="s">
        <v>18</v>
      </c>
      <c r="C277" s="3">
        <v>1</v>
      </c>
      <c r="D277" s="3">
        <v>0</v>
      </c>
      <c r="E277" s="3">
        <v>0</v>
      </c>
      <c r="G277" s="3">
        <v>1</v>
      </c>
      <c r="H277" s="3">
        <v>0</v>
      </c>
      <c r="I277" s="3">
        <v>0</v>
      </c>
      <c r="K277" s="3">
        <v>1</v>
      </c>
      <c r="L277" s="3">
        <v>0</v>
      </c>
      <c r="M277" s="3">
        <v>0</v>
      </c>
    </row>
    <row r="278" spans="1:13">
      <c r="A278" t="s">
        <v>19</v>
      </c>
      <c r="C278" s="3">
        <f>C274*C277*C276-C276</f>
        <v>0</v>
      </c>
      <c r="D278" s="3">
        <f>D274*D277*D276-D276</f>
        <v>0</v>
      </c>
      <c r="E278" s="3">
        <f>E274*E277*E276-E276</f>
        <v>-1</v>
      </c>
      <c r="G278" s="3">
        <f>G274*G277*G276-G276</f>
        <v>0</v>
      </c>
      <c r="H278" s="3">
        <f>H274*H277*H276-H276</f>
        <v>0</v>
      </c>
      <c r="I278" s="3">
        <f>I274*I277*I276-I276</f>
        <v>-1</v>
      </c>
      <c r="K278" s="3">
        <f>K274*K277*K276-K276</f>
        <v>0</v>
      </c>
      <c r="L278" s="3">
        <f>L274*L277*L276-L276</f>
        <v>0</v>
      </c>
      <c r="M278" s="3">
        <f>M274*M277*M276-M276</f>
        <v>-1</v>
      </c>
    </row>
    <row r="280" spans="1:13">
      <c r="A280" s="1" t="s">
        <v>50</v>
      </c>
      <c r="C280" s="1" t="s">
        <v>1</v>
      </c>
      <c r="E280" s="1">
        <f>0+C287+D287+E287 + E271</f>
        <v>-5.0500000000000016</v>
      </c>
      <c r="G280" s="1" t="s">
        <v>2</v>
      </c>
      <c r="I280" s="1">
        <f>0+G287+H287+I287 + I271</f>
        <v>3.1000000000000014</v>
      </c>
      <c r="K280" s="1" t="s">
        <v>3</v>
      </c>
      <c r="M280" s="1">
        <f>0+K287+L287+M287 + M271</f>
        <v>-2.3100000000000005</v>
      </c>
    </row>
    <row r="281" spans="1:13">
      <c r="A281" t="s">
        <v>54</v>
      </c>
      <c r="C281" s="2" t="s">
        <v>5</v>
      </c>
      <c r="D281" s="2" t="s">
        <v>6</v>
      </c>
      <c r="E281" s="2" t="s">
        <v>7</v>
      </c>
      <c r="G281" s="2" t="s">
        <v>8</v>
      </c>
      <c r="H281" s="2" t="s">
        <v>9</v>
      </c>
      <c r="I281" s="2" t="s">
        <v>10</v>
      </c>
      <c r="K281" s="2" t="s">
        <v>11</v>
      </c>
      <c r="L281" s="2" t="s">
        <v>12</v>
      </c>
      <c r="M281" s="2" t="s">
        <v>13</v>
      </c>
    </row>
    <row r="282" spans="1:13">
      <c r="A282" t="s">
        <v>14</v>
      </c>
      <c r="C282" s="3">
        <v>1.5569999999999999</v>
      </c>
      <c r="D282" s="3">
        <v>6.8869999999999996</v>
      </c>
      <c r="E282" s="3">
        <v>4.7039999999999997</v>
      </c>
      <c r="G282" s="3">
        <v>1.901</v>
      </c>
      <c r="H282" s="3">
        <v>2.645</v>
      </c>
      <c r="I282" s="3">
        <v>10.39</v>
      </c>
      <c r="K282" s="3">
        <v>2.149</v>
      </c>
      <c r="L282" s="3">
        <v>5.6619999999999999</v>
      </c>
      <c r="M282" s="3">
        <v>2.7909999999999999</v>
      </c>
    </row>
    <row r="283" spans="1:13">
      <c r="A283" t="s">
        <v>15</v>
      </c>
      <c r="C283" s="3">
        <v>3.2</v>
      </c>
      <c r="D283" s="3">
        <v>3.58</v>
      </c>
      <c r="E283" s="3">
        <v>2.2799999999999998</v>
      </c>
      <c r="G283" s="3">
        <v>3.74</v>
      </c>
      <c r="H283" s="3">
        <v>2.2599999999999998</v>
      </c>
      <c r="I283" s="3">
        <v>2.2799999999999998</v>
      </c>
      <c r="K283" s="3">
        <v>3.21</v>
      </c>
      <c r="L283" s="3">
        <v>2.67</v>
      </c>
      <c r="M283" s="3">
        <v>2.78</v>
      </c>
    </row>
    <row r="284" spans="1:13">
      <c r="A284" t="s">
        <v>16</v>
      </c>
      <c r="C284" s="3">
        <f>C283/C282</f>
        <v>2.0552344251766219</v>
      </c>
      <c r="D284" s="3">
        <f>D283/D282</f>
        <v>0.51981995063162489</v>
      </c>
      <c r="E284" s="3">
        <f>E283/E282</f>
        <v>0.48469387755102039</v>
      </c>
      <c r="G284" s="3">
        <f>G283/G282</f>
        <v>1.9673855865334036</v>
      </c>
      <c r="H284" s="3">
        <f>H283/H282</f>
        <v>0.85444234404536856</v>
      </c>
      <c r="I284" s="3">
        <f>I283/I282</f>
        <v>0.21944177093358996</v>
      </c>
      <c r="K284" s="3">
        <f>K283/K282</f>
        <v>1.4937180083759889</v>
      </c>
      <c r="L284" s="3">
        <f>L283/L282</f>
        <v>0.47156481808548217</v>
      </c>
      <c r="M284" s="3">
        <f>M283/M282</f>
        <v>0.99605876030096741</v>
      </c>
    </row>
    <row r="285" spans="1:13">
      <c r="A285" t="s">
        <v>17</v>
      </c>
      <c r="C285" s="3">
        <v>1</v>
      </c>
      <c r="D285" s="3">
        <v>0</v>
      </c>
      <c r="E285" s="3">
        <v>0</v>
      </c>
      <c r="G285" s="3">
        <v>1</v>
      </c>
      <c r="H285" s="3">
        <v>0</v>
      </c>
      <c r="I285" s="3">
        <v>0</v>
      </c>
      <c r="K285" s="3">
        <v>1</v>
      </c>
      <c r="L285" s="3">
        <v>0</v>
      </c>
      <c r="M285" s="3">
        <v>0</v>
      </c>
    </row>
    <row r="286" spans="1:13">
      <c r="A286" t="s">
        <v>18</v>
      </c>
      <c r="C286" s="3">
        <v>0</v>
      </c>
      <c r="D286" s="3">
        <v>0</v>
      </c>
      <c r="E286" s="3">
        <v>1</v>
      </c>
      <c r="G286" s="3">
        <v>0</v>
      </c>
      <c r="H286" s="3">
        <v>0</v>
      </c>
      <c r="I286" s="3">
        <v>1</v>
      </c>
      <c r="K286" s="3">
        <v>0</v>
      </c>
      <c r="L286" s="3">
        <v>0</v>
      </c>
      <c r="M286" s="3">
        <v>1</v>
      </c>
    </row>
    <row r="287" spans="1:13">
      <c r="A287" t="s">
        <v>19</v>
      </c>
      <c r="C287" s="3">
        <f>C283*C286*C285-C285</f>
        <v>-1</v>
      </c>
      <c r="D287" s="3">
        <f>D283*D286*D285-D285</f>
        <v>0</v>
      </c>
      <c r="E287" s="3">
        <f>E283*E286*E285-E285</f>
        <v>0</v>
      </c>
      <c r="G287" s="3">
        <f>G283*G286*G285-G285</f>
        <v>-1</v>
      </c>
      <c r="H287" s="3">
        <f>H283*H286*H285-H285</f>
        <v>0</v>
      </c>
      <c r="I287" s="3">
        <f>I283*I286*I285-I285</f>
        <v>0</v>
      </c>
      <c r="K287" s="3">
        <f>K283*K286*K285-K285</f>
        <v>-1</v>
      </c>
      <c r="L287" s="3">
        <f>L283*L286*L285-L285</f>
        <v>0</v>
      </c>
      <c r="M287" s="3">
        <f>M283*M286*M285-M285</f>
        <v>0</v>
      </c>
    </row>
    <row r="289" spans="1:14">
      <c r="A289" s="1" t="s">
        <v>50</v>
      </c>
      <c r="C289" s="1" t="s">
        <v>1</v>
      </c>
      <c r="E289" s="1">
        <f>0+C296+D296+E296 + E280</f>
        <v>-6.0500000000000016</v>
      </c>
      <c r="G289" s="1" t="s">
        <v>2</v>
      </c>
      <c r="I289" s="1">
        <f>0+G296+H296+I296 + I280</f>
        <v>2.1000000000000014</v>
      </c>
      <c r="K289" s="1" t="s">
        <v>3</v>
      </c>
      <c r="M289" s="1">
        <f>0+K296+L296+M296 + M280</f>
        <v>-3.3100000000000005</v>
      </c>
    </row>
    <row r="290" spans="1:14">
      <c r="A290" t="s">
        <v>55</v>
      </c>
      <c r="C290" s="2" t="s">
        <v>5</v>
      </c>
      <c r="D290" s="2" t="s">
        <v>6</v>
      </c>
      <c r="E290" s="2" t="s">
        <v>7</v>
      </c>
      <c r="G290" s="2" t="s">
        <v>8</v>
      </c>
      <c r="H290" s="2" t="s">
        <v>9</v>
      </c>
      <c r="I290" s="2" t="s">
        <v>10</v>
      </c>
      <c r="K290" s="2" t="s">
        <v>11</v>
      </c>
      <c r="L290" s="2" t="s">
        <v>12</v>
      </c>
      <c r="M290" s="2" t="s">
        <v>13</v>
      </c>
    </row>
    <row r="291" spans="1:14">
      <c r="A291" t="s">
        <v>14</v>
      </c>
      <c r="C291" s="3">
        <v>1.9910000000000001</v>
      </c>
      <c r="D291" s="3">
        <v>4.4139999999999997</v>
      </c>
      <c r="E291" s="3">
        <v>3.6869999999999998</v>
      </c>
      <c r="G291" s="3">
        <v>2.9689999999999999</v>
      </c>
      <c r="H291" s="3">
        <v>2.2919999999999998</v>
      </c>
      <c r="I291" s="3">
        <v>4.4029999999999996</v>
      </c>
      <c r="K291" s="3">
        <v>1.7849999999999999</v>
      </c>
      <c r="L291" s="3">
        <v>4.6390000000000002</v>
      </c>
      <c r="M291" s="3">
        <v>4.4550000000000001</v>
      </c>
    </row>
    <row r="292" spans="1:14">
      <c r="A292" t="s">
        <v>15</v>
      </c>
      <c r="C292" s="3">
        <v>1.52</v>
      </c>
      <c r="D292" s="3">
        <v>4.6100000000000003</v>
      </c>
      <c r="E292" s="3">
        <v>6.4</v>
      </c>
      <c r="G292" s="3">
        <v>2.04</v>
      </c>
      <c r="H292" s="3">
        <v>2.58</v>
      </c>
      <c r="I292" s="3">
        <v>5.92</v>
      </c>
      <c r="K292" s="3">
        <v>1.86</v>
      </c>
      <c r="L292" s="3">
        <v>3.1</v>
      </c>
      <c r="M292" s="3">
        <v>5.38</v>
      </c>
    </row>
    <row r="293" spans="1:14">
      <c r="A293" t="s">
        <v>16</v>
      </c>
      <c r="C293" s="3">
        <f>C292/C291</f>
        <v>0.76343545956805625</v>
      </c>
      <c r="D293" s="3">
        <f>D292/D291</f>
        <v>1.0444041685545991</v>
      </c>
      <c r="E293" s="3">
        <f>E292/E291</f>
        <v>1.7358285869270411</v>
      </c>
      <c r="G293" s="3">
        <f>G292/G291</f>
        <v>0.68710003368137429</v>
      </c>
      <c r="H293" s="3">
        <f>H292/H291</f>
        <v>1.1256544502617802</v>
      </c>
      <c r="I293" s="3">
        <f>I292/I291</f>
        <v>1.3445378151260505</v>
      </c>
      <c r="K293" s="3">
        <f>K292/K291</f>
        <v>1.0420168067226891</v>
      </c>
      <c r="L293" s="3">
        <f>L292/L291</f>
        <v>0.66824746712653582</v>
      </c>
      <c r="M293" s="3">
        <f>M292/M291</f>
        <v>1.207631874298541</v>
      </c>
    </row>
    <row r="294" spans="1:14">
      <c r="A294" t="s">
        <v>17</v>
      </c>
      <c r="C294" s="3">
        <v>0</v>
      </c>
      <c r="D294" s="3">
        <v>0</v>
      </c>
      <c r="E294" s="3">
        <v>1</v>
      </c>
      <c r="G294" s="3">
        <v>0</v>
      </c>
      <c r="H294" s="3">
        <v>0</v>
      </c>
      <c r="I294" s="3">
        <v>1</v>
      </c>
      <c r="K294" s="3">
        <v>0</v>
      </c>
      <c r="L294" s="3">
        <v>0</v>
      </c>
      <c r="M294" s="3">
        <v>1</v>
      </c>
    </row>
    <row r="295" spans="1:14">
      <c r="A295" t="s">
        <v>18</v>
      </c>
      <c r="C295" s="3">
        <v>1</v>
      </c>
      <c r="D295" s="3">
        <v>0</v>
      </c>
      <c r="E295" s="3">
        <v>0</v>
      </c>
      <c r="G295" s="3">
        <v>1</v>
      </c>
      <c r="H295" s="3">
        <v>0</v>
      </c>
      <c r="I295" s="3">
        <v>0</v>
      </c>
      <c r="K295" s="3">
        <v>1</v>
      </c>
      <c r="L295" s="3">
        <v>0</v>
      </c>
      <c r="M295" s="3">
        <v>0</v>
      </c>
    </row>
    <row r="296" spans="1:14">
      <c r="A296" t="s">
        <v>19</v>
      </c>
      <c r="C296" s="3">
        <f>C292*C295*C294-C294</f>
        <v>0</v>
      </c>
      <c r="D296" s="3">
        <f>D292*D295*D294-D294</f>
        <v>0</v>
      </c>
      <c r="E296" s="3">
        <f>E292*E295*E294-E294</f>
        <v>-1</v>
      </c>
      <c r="G296" s="3">
        <f>G292*G295*G294-G294</f>
        <v>0</v>
      </c>
      <c r="H296" s="3">
        <f>H292*H295*H294-H294</f>
        <v>0</v>
      </c>
      <c r="I296" s="3">
        <f>I292*I295*I294-I294</f>
        <v>-1</v>
      </c>
      <c r="K296" s="3">
        <f>K292*K295*K294-K294</f>
        <v>0</v>
      </c>
      <c r="L296" s="3">
        <f>L292*L295*L294-L294</f>
        <v>0</v>
      </c>
      <c r="M296" s="3">
        <f>M292*M295*M294-M294</f>
        <v>-1</v>
      </c>
    </row>
    <row r="298" spans="1:14">
      <c r="A298" s="1" t="s">
        <v>50</v>
      </c>
      <c r="C298" s="1" t="s">
        <v>1</v>
      </c>
      <c r="E298" s="1">
        <f>0+C305+D305+E305 + E289</f>
        <v>-5.4000000000000021</v>
      </c>
      <c r="G298" s="1" t="s">
        <v>2</v>
      </c>
      <c r="I298" s="1">
        <f>0+G305+H305+I305 + I289</f>
        <v>3.3600000000000012</v>
      </c>
      <c r="K298" s="1" t="s">
        <v>3</v>
      </c>
      <c r="M298" s="1">
        <f>0+K305+L305+M305 + M289</f>
        <v>-2.2700000000000005</v>
      </c>
      <c r="N298">
        <f>M298+I298+E298-P243--N181--N118-N55</f>
        <v>-3.5000000000000013</v>
      </c>
    </row>
    <row r="299" spans="1:14">
      <c r="A299" t="s">
        <v>56</v>
      </c>
      <c r="C299" s="2" t="s">
        <v>5</v>
      </c>
      <c r="D299" s="2" t="s">
        <v>6</v>
      </c>
      <c r="E299" s="2" t="s">
        <v>7</v>
      </c>
      <c r="G299" s="2" t="s">
        <v>8</v>
      </c>
      <c r="H299" s="2" t="s">
        <v>9</v>
      </c>
      <c r="I299" s="2" t="s">
        <v>10</v>
      </c>
      <c r="K299" s="2" t="s">
        <v>11</v>
      </c>
      <c r="L299" s="2" t="s">
        <v>12</v>
      </c>
      <c r="M299" s="2" t="s">
        <v>13</v>
      </c>
    </row>
    <row r="300" spans="1:14">
      <c r="A300" t="s">
        <v>14</v>
      </c>
      <c r="C300" s="3">
        <v>1.3420000000000001</v>
      </c>
      <c r="D300" s="3">
        <v>8.798</v>
      </c>
      <c r="E300" s="3">
        <v>7.077</v>
      </c>
      <c r="G300" s="3">
        <v>1.621</v>
      </c>
      <c r="H300" s="3">
        <v>3.7629999999999999</v>
      </c>
      <c r="I300" s="3">
        <v>8.5180000000000007</v>
      </c>
      <c r="K300" s="3">
        <v>1.569</v>
      </c>
      <c r="L300" s="3">
        <v>3.7269999999999999</v>
      </c>
      <c r="M300" s="3">
        <v>10.571</v>
      </c>
    </row>
    <row r="301" spans="1:14">
      <c r="A301" t="s">
        <v>15</v>
      </c>
      <c r="C301" s="3">
        <v>1.65</v>
      </c>
      <c r="D301" s="3">
        <v>4.25</v>
      </c>
      <c r="E301" s="3">
        <v>5.27</v>
      </c>
      <c r="G301" s="3">
        <v>2.2599999999999998</v>
      </c>
      <c r="H301" s="3">
        <v>2.44</v>
      </c>
      <c r="I301" s="3">
        <v>5.14</v>
      </c>
      <c r="K301" s="3">
        <v>2.04</v>
      </c>
      <c r="L301" s="3">
        <v>2.94</v>
      </c>
      <c r="M301" s="3">
        <v>4.63</v>
      </c>
    </row>
    <row r="302" spans="1:14">
      <c r="A302" t="s">
        <v>16</v>
      </c>
      <c r="C302" s="3">
        <f>C301/C300</f>
        <v>1.2295081967213113</v>
      </c>
      <c r="D302" s="3">
        <f>D301/D300</f>
        <v>0.48306433280290972</v>
      </c>
      <c r="E302" s="3">
        <f>E301/E300</f>
        <v>0.7446658188497951</v>
      </c>
      <c r="G302" s="3">
        <f>G301/G300</f>
        <v>1.3942011104256631</v>
      </c>
      <c r="H302" s="3">
        <f>H301/H300</f>
        <v>0.64841881477544516</v>
      </c>
      <c r="I302" s="3">
        <f>I301/I300</f>
        <v>0.60342803474994122</v>
      </c>
      <c r="K302" s="3">
        <f>K301/K300</f>
        <v>1.3001912045889101</v>
      </c>
      <c r="L302" s="3">
        <f>L301/L300</f>
        <v>0.78883820767373225</v>
      </c>
      <c r="M302" s="3">
        <f>M301/M300</f>
        <v>0.43799072935389272</v>
      </c>
    </row>
    <row r="303" spans="1:14">
      <c r="A303" t="s">
        <v>17</v>
      </c>
      <c r="C303" s="3">
        <v>1</v>
      </c>
      <c r="D303" s="3">
        <v>0</v>
      </c>
      <c r="E303" s="3">
        <v>0</v>
      </c>
      <c r="G303" s="3">
        <v>1</v>
      </c>
      <c r="H303" s="3">
        <v>0</v>
      </c>
      <c r="I303" s="3">
        <v>0</v>
      </c>
      <c r="K303" s="3">
        <v>1</v>
      </c>
      <c r="L303" s="3">
        <v>0</v>
      </c>
      <c r="M303" s="3">
        <v>0</v>
      </c>
    </row>
    <row r="304" spans="1:14">
      <c r="A304" t="s">
        <v>18</v>
      </c>
      <c r="C304" s="3">
        <v>1</v>
      </c>
      <c r="D304" s="3">
        <v>0</v>
      </c>
      <c r="E304" s="3">
        <v>0</v>
      </c>
      <c r="G304" s="3">
        <v>1</v>
      </c>
      <c r="H304" s="3">
        <v>0</v>
      </c>
      <c r="I304" s="3">
        <v>0</v>
      </c>
      <c r="K304" s="3">
        <v>1</v>
      </c>
      <c r="L304" s="3">
        <v>0</v>
      </c>
      <c r="M304" s="3">
        <v>0</v>
      </c>
    </row>
    <row r="305" spans="1:14">
      <c r="A305" t="s">
        <v>19</v>
      </c>
      <c r="C305" s="3">
        <f>C301*C304*C303-C303</f>
        <v>0.64999999999999991</v>
      </c>
      <c r="D305" s="3">
        <f>D301*D304*D303-D303</f>
        <v>0</v>
      </c>
      <c r="E305" s="3">
        <f>E301*E304*E303-E303</f>
        <v>0</v>
      </c>
      <c r="G305" s="3">
        <f>G301*G304*G303-G303</f>
        <v>1.2599999999999998</v>
      </c>
      <c r="H305" s="3">
        <f>H301*H304*H303-H303</f>
        <v>0</v>
      </c>
      <c r="I305" s="3">
        <f>I301*I304*I303-I303</f>
        <v>0</v>
      </c>
      <c r="K305" s="3">
        <f>K301*K304*K303-K303</f>
        <v>1.04</v>
      </c>
      <c r="L305" s="3">
        <f>L301*L304*L303-L303</f>
        <v>0</v>
      </c>
      <c r="M305" s="3">
        <f>M301*M304*M303-M303</f>
        <v>0</v>
      </c>
    </row>
    <row r="306" spans="1:14">
      <c r="N306" s="4">
        <f>(E298+I298+M298+34*3)/(34*3) -1</f>
        <v>-4.2254901960784297E-2</v>
      </c>
    </row>
  </sheetData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Absolute</vt:lpstr>
      <vt:lpstr>Relative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Valery Yafremau</cp:lastModifiedBy>
  <dcterms:created xsi:type="dcterms:W3CDTF">2025-06-29T06:58:00Z</dcterms:created>
  <dcterms:modified xsi:type="dcterms:W3CDTF">2025-07-01T10:37:35Z</dcterms:modified>
</cp:coreProperties>
</file>